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Supuestos" sheetId="2" state="visible" r:id="rId2"/>
    <sheet xmlns:r="http://schemas.openxmlformats.org/officeDocument/2006/relationships" name="Dia a dia" sheetId="3" state="visible" r:id="rId3"/>
    <sheet xmlns:r="http://schemas.openxmlformats.org/officeDocument/2006/relationships" name="Politica Yuno" sheetId="4" state="visible" r:id="rId4"/>
    <sheet xmlns:r="http://schemas.openxmlformats.org/officeDocument/2006/relationships" name="Research SF" sheetId="5" state="visible" r:id="rId5"/>
    <sheet xmlns:r="http://schemas.openxmlformats.org/officeDocument/2006/relationships" name="Comparacion" sheetId="6" state="visible" r:id="rId6"/>
  </sheets>
  <definedNames/>
  <calcPr calcId="124519" fullCalcOnLoad="1"/>
</workbook>
</file>

<file path=xl/styles.xml><?xml version="1.0" encoding="utf-8"?>
<styleSheet xmlns="http://schemas.openxmlformats.org/spreadsheetml/2006/main">
  <numFmts count="3">
    <numFmt numFmtId="164" formatCode="&quot;$&quot;#,##0.00"/>
    <numFmt numFmtId="165" formatCode="yyyy-mm-dd"/>
    <numFmt numFmtId="166" formatCode="dd-mmm-yyyy"/>
  </numFmts>
  <fonts count="6">
    <font>
      <name val="Calibri"/>
      <family val="2"/>
      <color theme="1"/>
      <sz val="11"/>
      <scheme val="minor"/>
    </font>
    <font>
      <b val="1"/>
      <color rgb="001B1F3B"/>
      <sz val="16"/>
    </font>
    <font>
      <i val="1"/>
      <color rgb="00555555"/>
    </font>
    <font>
      <b val="1"/>
    </font>
    <font>
      <b val="1"/>
      <color rgb="00FFFFFF"/>
    </font>
    <font>
      <b val="1"/>
      <color rgb="001B1F3B"/>
      <sz val="12"/>
    </font>
  </fonts>
  <fills count="6">
    <fill>
      <patternFill/>
    </fill>
    <fill>
      <patternFill patternType="gray125"/>
    </fill>
    <fill>
      <patternFill patternType="solid">
        <fgColor rgb="00FFF7D6"/>
      </patternFill>
    </fill>
    <fill>
      <patternFill patternType="solid">
        <fgColor rgb="001B1F3B"/>
      </patternFill>
    </fill>
    <fill>
      <patternFill patternType="solid">
        <fgColor rgb="00F3F4F6"/>
      </patternFill>
    </fill>
    <fill>
      <patternFill patternType="solid">
        <fgColor rgb="00E8F1FF"/>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6" fontId="0" fillId="5" borderId="1" pivotButton="0" quotePrefix="0" xfId="0"/>
    <xf numFmtId="0" fontId="0" fillId="0" borderId="0" applyAlignment="1" pivotButton="0" quotePrefix="0" xfId="0">
      <alignment vertical="top" wrapText="1"/>
    </xf>
    <xf numFmtId="1" fontId="0" fillId="5" borderId="1" pivotButton="0" quotePrefix="0" xfId="0"/>
    <xf numFmtId="0" fontId="0" fillId="5" borderId="1" pivotButton="0" quotePrefix="0" xfId="0"/>
    <xf numFmtId="10" fontId="0" fillId="5" borderId="1" pivotButton="0" quotePrefix="0" xfId="0"/>
    <xf numFmtId="0" fontId="4" fillId="3" borderId="1" applyAlignment="1" pivotButton="0" quotePrefix="0" xfId="0">
      <alignment horizontal="center" vertical="center" wrapText="1"/>
    </xf>
    <xf numFmtId="0" fontId="0" fillId="0" borderId="1" pivotButton="0" quotePrefix="0" xfId="0"/>
    <xf numFmtId="164" fontId="0" fillId="0" borderId="1" pivotButton="0" quotePrefix="0" xfId="0"/>
    <xf numFmtId="164" fontId="3" fillId="5" borderId="1" pivotButton="0" quotePrefix="0" xfId="0"/>
    <xf numFmtId="164" fontId="0" fillId="5" borderId="1" pivotButton="0" quotePrefix="0" xfId="0"/>
    <xf numFmtId="0" fontId="5" fillId="0" borderId="0" pivotButton="0" quotePrefix="0" xfId="0"/>
    <xf numFmtId="166" fontId="0" fillId="0" borderId="1"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pivotButton="0" quotePrefix="0" xfId="0"/>
    <xf numFmtId="10" fontId="0" fillId="2" borderId="0" pivotButton="0" quotePrefix="0" xfId="0"/>
    <xf numFmtId="0" fontId="4" fillId="3" borderId="1" applyAlignment="1" pivotButton="0" quotePrefix="0" xfId="0">
      <alignment vertical="top" wrapText="1"/>
    </xf>
    <xf numFmtId="164" fontId="0" fillId="2" borderId="0" pivotButton="0" quotePrefix="0" xfId="0"/>
    <xf numFmtId="164" fontId="0" fillId="0" borderId="0" pivotButton="0" quotePrefix="0" xfId="0"/>
    <xf numFmtId="10" fontId="0" fillId="0" borderId="0" pivotButton="0" quotePrefix="0" xfId="0"/>
    <xf numFmtId="0" fontId="0" fillId="2" borderId="0" pivotButton="0" quotePrefix="0" xfId="0"/>
    <xf numFmtId="164" fontId="3" fillId="0" borderId="0" pivotButton="0" quotePrefix="0" xfId="0"/>
    <xf numFmtId="0" fontId="0" fillId="2" borderId="1" pivotButton="0" quotePrefix="0" xfId="0"/>
    <xf numFmtId="164" fontId="3" fillId="0" borderId="1" pivotButton="0" quotePrefix="0" xfId="0"/>
    <xf numFmtId="166" fontId="0" fillId="4" borderId="1" pivotButton="0" quotePrefix="0" xfId="0"/>
    <xf numFmtId="0" fontId="0" fillId="4" borderId="1" pivotButton="0" quotePrefix="0" xfId="0"/>
    <xf numFmtId="0" fontId="0" fillId="0" borderId="1" applyAlignment="1" pivotButton="0" quotePrefix="0" xfId="0">
      <alignment vertical="top" wrapText="1"/>
    </xf>
    <xf numFmtId="164" fontId="0" fillId="0" borderId="1" applyAlignment="1" pivotButton="0" quotePrefix="0" xfId="0">
      <alignment vertical="top" wrapText="1"/>
    </xf>
    <xf numFmtId="0" fontId="3" fillId="5" borderId="1" applyAlignment="1" pivotButton="0" quotePrefix="0" xfId="0">
      <alignment vertical="top" wrapText="1"/>
    </xf>
    <xf numFmtId="164" fontId="3" fillId="5" borderId="1" applyAlignment="1" pivotButton="0" quotePrefix="0" xfId="0">
      <alignment vertical="top" wrapText="1"/>
    </xf>
  </cellXfs>
  <cellStyles count="1">
    <cellStyle name="Normal" xfId="0" builtinId="0" hidden="0"/>
  </cellStyles>
  <dxfs count="2">
    <dxf>
      <fill>
        <patternFill patternType="solid">
          <fgColor rgb="00FDE8E8"/>
        </patternFill>
      </fill>
    </dxf>
    <dxf>
      <fill>
        <patternFill patternType="solid">
          <fgColor rgb="00E6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3" topLeftCell="A4" activePane="bottomLeft" state="frozen"/>
      <selection pane="bottomLeft" activeCell="A1" sqref="A1"/>
    </sheetView>
  </sheetViews>
  <sheetFormatPr baseColWidth="8" defaultRowHeight="15"/>
  <cols>
    <col width="46" customWidth="1" min="1" max="1"/>
    <col width="20" customWidth="1" min="2" max="2"/>
    <col width="20" customWidth="1" min="3" max="3"/>
    <col width="14" customWidth="1" min="4" max="4"/>
    <col width="22" customWidth="1" min="5" max="5"/>
    <col width="22" customWidth="1" min="6" max="6"/>
    <col width="60" customWidth="1" min="7" max="7"/>
  </cols>
  <sheetData>
    <row r="1">
      <c r="A1" s="1" t="inlineStr">
        <is>
          <t>Presupuesto viaje San Francisco · German Tatis · 28-sep → 4-nov-2026</t>
        </is>
      </c>
    </row>
    <row r="2">
      <c r="A2" s="2" t="inlineStr">
        <is>
          <t>Comparación: tope de la Travel &amp; Expense Policy de Yuno (v1.0, abr-2026) vs costo real estimado en SF. USD.</t>
        </is>
      </c>
    </row>
    <row r="4">
      <c r="A4" s="3" t="inlineStr">
        <is>
          <t>Fecha de salida (BOG → SFO)</t>
        </is>
      </c>
      <c r="B4" s="4" t="n">
        <v>46293</v>
      </c>
      <c r="D4" s="3" t="inlineStr">
        <is>
          <t>Airbnb elegido</t>
        </is>
      </c>
      <c r="E4" s="5" t="inlineStr">
        <is>
          <t>SOMA Executive Retreat Lower · 2 habitaciones / 1 baño · Clementina St (8th &amp; 9th), SoMa · compartido con Samuel · check-in 28-sep 3PM</t>
        </is>
      </c>
    </row>
    <row r="5">
      <c r="A5" s="3" t="inlineStr">
        <is>
          <t>Fecha de regreso (SFO → BOG)</t>
        </is>
      </c>
      <c r="B5" s="4" t="n">
        <v>46330</v>
      </c>
      <c r="D5" s="3" t="inlineStr">
        <is>
          <t>Aprobación</t>
        </is>
      </c>
      <c r="E5" s="5" t="inlineStr">
        <is>
          <t>Justo + Sean OK en DM (17-sep, '&lt;$4k/mes'). Pendiente: hilo en #travel-requests para el Airbnb y aviso a Finance por estadía 7+ noches (Policy §4).</t>
        </is>
      </c>
    </row>
    <row r="6">
      <c r="A6" s="3" t="inlineStr">
        <is>
          <t>Días en viaje</t>
        </is>
      </c>
      <c r="B6" s="6">
        <f>COUNT('Dia a dia'!A5:A42)</f>
        <v/>
      </c>
      <c r="D6" s="3" t="inlineStr">
        <is>
          <t>Precio real del listing</t>
        </is>
      </c>
      <c r="E6" s="5" t="inlineStr">
        <is>
          <t>NO CONFIRMADO. Airbnb no muestra el precio sin sesión. Actualiza Supuestos!C8 con el precio por noche real y todo se recalcula.</t>
        </is>
      </c>
    </row>
    <row r="7">
      <c r="A7" s="3" t="inlineStr">
        <is>
          <t>Noches totales</t>
        </is>
      </c>
      <c r="B7" s="6">
        <f>B6-1</f>
        <v/>
      </c>
    </row>
    <row r="8">
      <c r="A8" s="3" t="inlineStr">
        <is>
          <t>Noches en casa de Joaquín (sin costo)</t>
        </is>
      </c>
      <c r="B8" s="6">
        <f>COUNTIF('Dia a dia'!D5:D42,"Casa Joaquín")</f>
        <v/>
      </c>
    </row>
    <row r="9">
      <c r="A9" s="3" t="inlineStr">
        <is>
          <t>Noches en Airbnb (pagadas)</t>
        </is>
      </c>
      <c r="B9" s="6">
        <f>COUNTIF('Dia a dia'!D5:D42,"Airbnb")</f>
        <v/>
      </c>
    </row>
    <row r="10">
      <c r="A10" s="3" t="inlineStr">
        <is>
          <t>Escenario activo en 'Dia a dia'</t>
        </is>
      </c>
      <c r="B10" s="7">
        <f>Supuestos!B3</f>
        <v/>
      </c>
    </row>
    <row r="11">
      <c r="A11" s="3" t="inlineStr">
        <is>
          <t>Tu parte del Airbnb</t>
        </is>
      </c>
      <c r="B11" s="8">
        <f>Supuestos!B5</f>
        <v/>
      </c>
    </row>
    <row r="13">
      <c r="A13" s="9" t="inlineStr">
        <is>
          <t>Categoría</t>
        </is>
      </c>
      <c r="B13" s="9" t="inlineStr">
        <is>
          <t>Política (tope máximo)</t>
        </is>
      </c>
      <c r="C13" s="9" t="inlineStr">
        <is>
          <t>Realista (mercado SF)</t>
        </is>
      </c>
      <c r="D13" s="9" t="inlineStr">
        <is>
          <t>Ahorro</t>
        </is>
      </c>
      <c r="E13" s="9" t="inlineStr">
        <is>
          <t>Escenario activo (Día a día)</t>
        </is>
      </c>
      <c r="F13" s="9" t="inlineStr">
        <is>
          <t>Margen Realista vs Política</t>
        </is>
      </c>
      <c r="G13" s="9" t="inlineStr">
        <is>
          <t>Cómo se calcula</t>
        </is>
      </c>
    </row>
    <row r="14">
      <c r="A14" s="10" t="inlineStr">
        <is>
          <t>Vuelo (ya pagado)</t>
        </is>
      </c>
      <c r="B14" s="11">
        <f>Supuestos!B18</f>
        <v/>
      </c>
      <c r="C14" s="11">
        <f>Supuestos!C18</f>
        <v/>
      </c>
      <c r="D14" s="11">
        <f>Supuestos!D18</f>
        <v/>
      </c>
      <c r="E14" s="11">
        <f>Supuestos!E18</f>
        <v/>
      </c>
      <c r="F14" s="11">
        <f>B14-C14</f>
        <v/>
      </c>
      <c r="G14" s="5" t="inlineStr">
        <is>
          <t>Fijo. Avianca Flex, comprado.</t>
        </is>
      </c>
    </row>
    <row r="15">
      <c r="A15" s="10" t="inlineStr">
        <is>
          <t>Alojamiento Airbnb (tu parte, sin impuestos)</t>
        </is>
      </c>
      <c r="B15" s="11">
        <f>$B$9*Supuestos!B9</f>
        <v/>
      </c>
      <c r="C15" s="11">
        <f>$B$9*Supuestos!C9</f>
        <v/>
      </c>
      <c r="D15" s="11">
        <f>$B$9*Supuestos!D9</f>
        <v/>
      </c>
      <c r="E15" s="11">
        <f>SUMPRODUCT(('Dia a dia'!D5:D42="Airbnb")*1)*Supuestos!E9</f>
        <v/>
      </c>
      <c r="F15" s="11">
        <f>B15-C15</f>
        <v/>
      </c>
      <c r="G15" s="5" t="inlineStr">
        <is>
          <t>Noches Airbnb × tu parte por noche (Supuestos fila 9).</t>
        </is>
      </c>
    </row>
    <row r="16">
      <c r="A16" s="10" t="inlineStr">
        <is>
          <t>Impuestos Airbnb (TOT + TID si &lt; 30 noches)</t>
        </is>
      </c>
      <c r="B16" s="11">
        <f>$B$9*Supuestos!B9*Supuestos!B10</f>
        <v/>
      </c>
      <c r="C16" s="11">
        <f>$B$9*Supuestos!C9*Supuestos!C10</f>
        <v/>
      </c>
      <c r="D16" s="11">
        <f>$B$9*Supuestos!D9*Supuestos!D10</f>
        <v/>
      </c>
      <c r="E16" s="11">
        <f>SUM('Dia a dia'!E5:E42)-E15</f>
        <v/>
      </c>
      <c r="F16" s="11">
        <f>B16-C16</f>
        <v/>
      </c>
      <c r="G16" s="5" t="inlineStr">
        <is>
          <t>16,25% sobre el alojamiento si reservas &lt; 30 noches; 0% con 30+.</t>
        </is>
      </c>
    </row>
    <row r="17">
      <c r="A17" s="10" t="inlineStr">
        <is>
          <t>Desayunos</t>
        </is>
      </c>
      <c r="B17" s="11">
        <f>$B$6*Supuestos!B11</f>
        <v/>
      </c>
      <c r="C17" s="11">
        <f>$B$6*Supuestos!C11</f>
        <v/>
      </c>
      <c r="D17" s="11">
        <f>$B$6*Supuestos!D11</f>
        <v/>
      </c>
      <c r="E17" s="11">
        <f>SUM('Dia a dia'!F5:F42)</f>
        <v/>
      </c>
      <c r="F17" s="11">
        <f>B17-C17</f>
        <v/>
      </c>
      <c r="G17" s="5" t="inlineStr">
        <is>
          <t>Días × valor por escenario.</t>
        </is>
      </c>
    </row>
    <row r="18">
      <c r="A18" s="10" t="inlineStr">
        <is>
          <t>Almuerzos</t>
        </is>
      </c>
      <c r="B18" s="11">
        <f>$B$6*Supuestos!B12</f>
        <v/>
      </c>
      <c r="C18" s="11">
        <f>$B$6*Supuestos!C12</f>
        <v/>
      </c>
      <c r="D18" s="11">
        <f>$B$6*Supuestos!D12</f>
        <v/>
      </c>
      <c r="E18" s="11">
        <f>SUM('Dia a dia'!G5:G42)</f>
        <v/>
      </c>
      <c r="F18" s="11">
        <f>B18-C18</f>
        <v/>
      </c>
      <c r="G18" s="5" t="inlineStr">
        <is>
          <t>Días × valor por escenario.</t>
        </is>
      </c>
    </row>
    <row r="19">
      <c r="A19" s="10" t="inlineStr">
        <is>
          <t>Cenas</t>
        </is>
      </c>
      <c r="B19" s="11">
        <f>$B$6*Supuestos!B13</f>
        <v/>
      </c>
      <c r="C19" s="11">
        <f>$B$6*Supuestos!C13</f>
        <v/>
      </c>
      <c r="D19" s="11">
        <f>$B$6*Supuestos!D13</f>
        <v/>
      </c>
      <c r="E19" s="11">
        <f>SUM('Dia a dia'!H5:H42)</f>
        <v/>
      </c>
      <c r="F19" s="11">
        <f>B19-C19</f>
        <v/>
      </c>
      <c r="G19" s="5" t="inlineStr">
        <is>
          <t>Días × valor por escenario.</t>
        </is>
      </c>
    </row>
    <row r="20">
      <c r="A20" s="10" t="inlineStr">
        <is>
          <t>Transporte local (diario)</t>
        </is>
      </c>
      <c r="B20" s="11">
        <f>$B$6*Supuestos!B14</f>
        <v/>
      </c>
      <c r="C20" s="11">
        <f>$B$6*Supuestos!C14</f>
        <v/>
      </c>
      <c r="D20" s="11">
        <f>$B$6*Supuestos!D14</f>
        <v/>
      </c>
      <c r="E20" s="11">
        <f>SUM('Dia a dia'!I5:I42)-Supuestos!E19-Supuestos!E20</f>
        <v/>
      </c>
      <c r="F20" s="11">
        <f>B20-C20</f>
        <v/>
      </c>
      <c r="G20" s="5" t="inlineStr">
        <is>
          <t>Días × valor por escenario.</t>
        </is>
      </c>
    </row>
    <row r="21">
      <c r="A21" s="10" t="inlineStr">
        <is>
          <t>Traslados aeropuerto (llegada + salida)</t>
        </is>
      </c>
      <c r="B21" s="11">
        <f>Supuestos!B19+Supuestos!B20</f>
        <v/>
      </c>
      <c r="C21" s="11">
        <f>Supuestos!C19+Supuestos!C20</f>
        <v/>
      </c>
      <c r="D21" s="11">
        <f>Supuestos!D19+Supuestos!D20</f>
        <v/>
      </c>
      <c r="E21" s="11">
        <f>Supuestos!E19+Supuestos!E20</f>
        <v/>
      </c>
      <c r="F21" s="11">
        <f>B21-C21</f>
        <v/>
      </c>
      <c r="G21" s="5" t="inlineStr">
        <is>
          <t>En Política = 0 porque caben en el tope de $55/día.</t>
        </is>
      </c>
    </row>
    <row r="22">
      <c r="A22" s="10" t="inlineStr">
        <is>
          <t>eSIM / datos móviles</t>
        </is>
      </c>
      <c r="B22" s="11">
        <f>Supuestos!B21</f>
        <v/>
      </c>
      <c r="C22" s="11">
        <f>Supuestos!C21</f>
        <v/>
      </c>
      <c r="D22" s="11">
        <f>Supuestos!D21</f>
        <v/>
      </c>
      <c r="E22" s="11">
        <f>Supuestos!E21</f>
        <v/>
      </c>
      <c r="F22" s="11">
        <f>B22-C22</f>
        <v/>
      </c>
      <c r="G22" s="5" t="inlineStr">
        <is>
          <t>Reembolsable con recibo (Policy §9).</t>
        </is>
      </c>
    </row>
    <row r="23">
      <c r="A23" s="10" t="inlineStr">
        <is>
          <t>Otros diarios</t>
        </is>
      </c>
      <c r="B23" s="11">
        <f>$B$6*Supuestos!B15</f>
        <v/>
      </c>
      <c r="C23" s="11">
        <f>$B$6*Supuestos!C15</f>
        <v/>
      </c>
      <c r="D23" s="11">
        <f>$B$6*Supuestos!D15</f>
        <v/>
      </c>
      <c r="E23" s="11">
        <f>SUM('Dia a dia'!J5:J42)-Supuestos!E21</f>
        <v/>
      </c>
      <c r="F23" s="11">
        <f>B23-C23</f>
        <v/>
      </c>
      <c r="G23" s="5" t="inlineStr">
        <is>
          <t>Bolsillo propio salvo propósito de negocio.</t>
        </is>
      </c>
    </row>
    <row r="24">
      <c r="A24" s="10" t="inlineStr">
        <is>
          <t>Lavandería / varios únicos</t>
        </is>
      </c>
      <c r="B24" s="11">
        <f>Supuestos!B22</f>
        <v/>
      </c>
      <c r="C24" s="11">
        <f>Supuestos!C22</f>
        <v/>
      </c>
      <c r="D24" s="11">
        <f>Supuestos!D22</f>
        <v/>
      </c>
      <c r="E24" s="11">
        <f>Supuestos!E22</f>
        <v/>
      </c>
      <c r="F24" s="11">
        <f>B24-C24</f>
        <v/>
      </c>
      <c r="G24" s="5" t="inlineStr">
        <is>
          <t>Una sola vez.</t>
        </is>
      </c>
    </row>
    <row r="25">
      <c r="A25" s="10" t="inlineStr">
        <is>
          <t>Comidas con clientes / equipo (opcional)</t>
        </is>
      </c>
      <c r="B25" s="11">
        <f>Supuestos!B26</f>
        <v/>
      </c>
      <c r="C25" s="11">
        <f>Supuestos!B26</f>
        <v/>
      </c>
      <c r="D25" s="11">
        <f>Supuestos!B26</f>
        <v/>
      </c>
      <c r="E25" s="11">
        <f>Supuestos!B26</f>
        <v/>
      </c>
      <c r="F25" s="11">
        <f>B25-C25</f>
        <v/>
      </c>
      <c r="G25" s="5" t="inlineStr">
        <is>
          <t>Nº comidas × $85 (Supuestos B24). Fuera de los topes individuales.</t>
        </is>
      </c>
    </row>
    <row r="26">
      <c r="A26" s="3" t="inlineStr">
        <is>
          <t>TOTAL DEL VIAJE</t>
        </is>
      </c>
      <c r="B26" s="12">
        <f>SUM(B14:B25)</f>
        <v/>
      </c>
      <c r="C26" s="12">
        <f>SUM(C14:C25)</f>
        <v/>
      </c>
      <c r="D26" s="12">
        <f>SUM(D14:D25)</f>
        <v/>
      </c>
      <c r="E26" s="12">
        <f>SUM(E14:E25)</f>
        <v/>
      </c>
      <c r="F26" s="12">
        <f>SUM(F14:F25)</f>
        <v/>
      </c>
    </row>
    <row r="27">
      <c r="A27" s="3" t="inlineStr">
        <is>
          <t>Total sin vuelo</t>
        </is>
      </c>
      <c r="B27" s="13">
        <f>B26-B14</f>
        <v/>
      </c>
      <c r="C27" s="13">
        <f>C26-C14</f>
        <v/>
      </c>
      <c r="D27" s="13">
        <f>D26-D14</f>
        <v/>
      </c>
      <c r="E27" s="13">
        <f>E26-E14</f>
        <v/>
      </c>
    </row>
    <row r="28">
      <c r="A28" s="3" t="inlineStr">
        <is>
          <t>Promedio por día (sin vuelo)</t>
        </is>
      </c>
      <c r="B28" s="13">
        <f>B27/$B$6</f>
        <v/>
      </c>
      <c r="C28" s="13">
        <f>C27/$B$6</f>
        <v/>
      </c>
      <c r="D28" s="13">
        <f>D27/$B$6</f>
        <v/>
      </c>
      <c r="E28" s="13">
        <f>E27/$B$6</f>
        <v/>
      </c>
    </row>
    <row r="29">
      <c r="A29" s="3" t="inlineStr">
        <is>
          <t>Promedio por semana (sin vuelo)</t>
        </is>
      </c>
      <c r="B29" s="13">
        <f>B28*7</f>
        <v/>
      </c>
      <c r="C29" s="13">
        <f>C28*7</f>
        <v/>
      </c>
      <c r="D29" s="13">
        <f>D28*7</f>
        <v/>
      </c>
      <c r="E29" s="13">
        <f>E28*7</f>
        <v/>
      </c>
    </row>
    <row r="30">
      <c r="A30" s="3" t="inlineStr">
        <is>
          <t>Total por mes de RAMP: septiembre (28–30 sep)</t>
        </is>
      </c>
      <c r="E30" s="13">
        <f>SUMPRODUCT((MONTH('Dia a dia'!A5:A42)=9)*'Dia a dia'!K5:K42)</f>
        <v/>
      </c>
      <c r="G30" t="inlineStr">
        <is>
          <t>Reconciliar en RAMP antes del 5-oct.</t>
        </is>
      </c>
    </row>
    <row r="31">
      <c r="A31" s="3" t="inlineStr">
        <is>
          <t>Total por mes de RAMP: octubre</t>
        </is>
      </c>
      <c r="E31" s="13">
        <f>SUMPRODUCT((MONTH('Dia a dia'!A5:A42)=10)*'Dia a dia'!K5:K42)</f>
        <v/>
      </c>
      <c r="G31" t="inlineStr">
        <is>
          <t>Reconciliar antes del 5-nov.</t>
        </is>
      </c>
    </row>
    <row r="32">
      <c r="A32" s="3" t="inlineStr">
        <is>
          <t>Total por mes de RAMP: noviembre (1–4 nov)</t>
        </is>
      </c>
      <c r="E32" s="13">
        <f>SUMPRODUCT((MONTH('Dia a dia'!A5:A42)=11)*'Dia a dia'!K5:K42)</f>
        <v/>
      </c>
      <c r="G32" t="inlineStr">
        <is>
          <t>Reconciliar antes del 5-dic.</t>
        </is>
      </c>
    </row>
    <row r="34">
      <c r="A34" s="14" t="inlineStr">
        <is>
          <t>Por semana (escenario activo)</t>
        </is>
      </c>
    </row>
    <row r="35">
      <c r="A35" s="9" t="inlineStr">
        <is>
          <t>Semana</t>
        </is>
      </c>
      <c r="B35" s="9" t="inlineStr">
        <is>
          <t>Desde</t>
        </is>
      </c>
      <c r="C35" s="9" t="inlineStr">
        <is>
          <t>Hasta</t>
        </is>
      </c>
      <c r="D35" s="9" t="inlineStr">
        <is>
          <t>Días</t>
        </is>
      </c>
      <c r="E35" s="9" t="inlineStr">
        <is>
          <t>Total semana</t>
        </is>
      </c>
      <c r="F35" s="9" t="inlineStr">
        <is>
          <t>Tope política semana</t>
        </is>
      </c>
      <c r="G35" s="9" t="inlineStr">
        <is>
          <t>Margen</t>
        </is>
      </c>
    </row>
    <row r="36">
      <c r="A36" s="10" t="inlineStr">
        <is>
          <t>S1</t>
        </is>
      </c>
      <c r="B36" s="15" t="n">
        <v>46293</v>
      </c>
      <c r="C36" s="15" t="n">
        <v>46299</v>
      </c>
      <c r="D36" s="10">
        <f>COUNTIF('Dia a dia'!C5:C42,A36)</f>
        <v/>
      </c>
      <c r="E36" s="11">
        <f>SUMIF('Dia a dia'!C5:C42,A36,'Dia a dia'!K5:K42)</f>
        <v/>
      </c>
      <c r="F36" s="11">
        <f>SUMIF('Dia a dia'!C5:C42,A36,'Dia a dia'!L5:L42)</f>
        <v/>
      </c>
      <c r="G36" s="11">
        <f>F36-E36</f>
        <v/>
      </c>
    </row>
    <row r="37">
      <c r="A37" s="10" t="inlineStr">
        <is>
          <t>S2</t>
        </is>
      </c>
      <c r="B37" s="15" t="n">
        <v>46300</v>
      </c>
      <c r="C37" s="15" t="n">
        <v>46306</v>
      </c>
      <c r="D37" s="10">
        <f>COUNTIF('Dia a dia'!C5:C42,A37)</f>
        <v/>
      </c>
      <c r="E37" s="11">
        <f>SUMIF('Dia a dia'!C5:C42,A37,'Dia a dia'!K5:K42)</f>
        <v/>
      </c>
      <c r="F37" s="11">
        <f>SUMIF('Dia a dia'!C5:C42,A37,'Dia a dia'!L5:L42)</f>
        <v/>
      </c>
      <c r="G37" s="11">
        <f>F37-E37</f>
        <v/>
      </c>
    </row>
    <row r="38">
      <c r="A38" s="10" t="inlineStr">
        <is>
          <t>S3</t>
        </is>
      </c>
      <c r="B38" s="15" t="n">
        <v>46307</v>
      </c>
      <c r="C38" s="15" t="n">
        <v>46313</v>
      </c>
      <c r="D38" s="10">
        <f>COUNTIF('Dia a dia'!C5:C42,A38)</f>
        <v/>
      </c>
      <c r="E38" s="11">
        <f>SUMIF('Dia a dia'!C5:C42,A38,'Dia a dia'!K5:K42)</f>
        <v/>
      </c>
      <c r="F38" s="11">
        <f>SUMIF('Dia a dia'!C5:C42,A38,'Dia a dia'!L5:L42)</f>
        <v/>
      </c>
      <c r="G38" s="11">
        <f>F38-E38</f>
        <v/>
      </c>
    </row>
    <row r="39">
      <c r="A39" s="10" t="inlineStr">
        <is>
          <t>S4</t>
        </is>
      </c>
      <c r="B39" s="15" t="n">
        <v>46314</v>
      </c>
      <c r="C39" s="15" t="n">
        <v>46320</v>
      </c>
      <c r="D39" s="10">
        <f>COUNTIF('Dia a dia'!C5:C42,A39)</f>
        <v/>
      </c>
      <c r="E39" s="11">
        <f>SUMIF('Dia a dia'!C5:C42,A39,'Dia a dia'!K5:K42)</f>
        <v/>
      </c>
      <c r="F39" s="11">
        <f>SUMIF('Dia a dia'!C5:C42,A39,'Dia a dia'!L5:L42)</f>
        <v/>
      </c>
      <c r="G39" s="11">
        <f>F39-E39</f>
        <v/>
      </c>
    </row>
    <row r="40">
      <c r="A40" s="10" t="inlineStr">
        <is>
          <t>S5</t>
        </is>
      </c>
      <c r="B40" s="15" t="n">
        <v>46321</v>
      </c>
      <c r="C40" s="15" t="n">
        <v>46327</v>
      </c>
      <c r="D40" s="10">
        <f>COUNTIF('Dia a dia'!C5:C42,A40)</f>
        <v/>
      </c>
      <c r="E40" s="11">
        <f>SUMIF('Dia a dia'!C5:C42,A40,'Dia a dia'!K5:K42)</f>
        <v/>
      </c>
      <c r="F40" s="11">
        <f>SUMIF('Dia a dia'!C5:C42,A40,'Dia a dia'!L5:L42)</f>
        <v/>
      </c>
      <c r="G40" s="11">
        <f>F40-E40</f>
        <v/>
      </c>
    </row>
    <row r="41">
      <c r="A41" s="10" t="inlineStr">
        <is>
          <t>S6</t>
        </is>
      </c>
      <c r="B41" s="15" t="n">
        <v>46328</v>
      </c>
      <c r="C41" s="15" t="n">
        <v>46330</v>
      </c>
      <c r="D41" s="10">
        <f>COUNTIF('Dia a dia'!C5:C42,A41)</f>
        <v/>
      </c>
      <c r="E41" s="11">
        <f>SUMIF('Dia a dia'!C5:C42,A41,'Dia a dia'!K5:K42)</f>
        <v/>
      </c>
      <c r="F41" s="11">
        <f>SUMIF('Dia a dia'!C5:C42,A41,'Dia a dia'!L5:L42)</f>
        <v/>
      </c>
      <c r="G41" s="11">
        <f>F41-E41</f>
        <v/>
      </c>
    </row>
    <row r="44">
      <c r="A44" s="14" t="inlineStr">
        <is>
          <t>Lecturas clave</t>
        </is>
      </c>
    </row>
    <row r="45" ht="32" customHeight="1">
      <c r="A45" s="5" t="inlineStr">
        <is>
          <t>1. Alojamiento: con el Airbnb compartido (~$130/noche la unidad, tu parte ~$65) estás muy por debajo del tope de $220/noche por persona. Es el mayor ahorro del viaje.</t>
        </is>
      </c>
    </row>
    <row r="46" ht="32" customHeight="1">
      <c r="A46" s="5" t="inlineStr">
        <is>
          <t>2. Impuestos: si la reserva de Airbnb es de 27 noches paga 16,25% de impuestos de SF (TOT 14% + TID 2,25%). 30 noches sin impuesto cuestan MENOS que 27 con impuesto (27 × 1,1625 = 31,4 noches equivalentes). Evalúa reservar 30 noches.</t>
        </is>
      </c>
    </row>
    <row r="47" ht="32" customHeight="1">
      <c r="A47" s="5" t="inlineStr">
        <is>
          <t>3. Comida: los topes de Yuno ($15 / $25 / $50 = $90/día, tip incluido) son realistas para SF. Un almuerzo casual sale $20–33 con tax + SF Mandate + tip; una cena mid-range $35–55. El desayuno es donde más se ahorra (mercado en el Airbnb).</t>
        </is>
      </c>
    </row>
    <row r="48" ht="32" customHeight="1">
      <c r="A48" s="5" t="inlineStr">
        <is>
          <t>4. Transporte: el tope de $55/día es generoso. Con Muni pass 'A' ($104/mes, incluye BART dentro de SF) + 3–4 Uber por semana gastas ~$15/día. BART cubre SFO ($11,15) y la política lo pide como primera opción.</t>
        </is>
      </c>
    </row>
    <row r="49" ht="32" customHeight="1">
      <c r="A49" s="5" t="inlineStr">
        <is>
          <t>5. Estadía 7+ noches: la política exige contactar a Finance antes de reservar. La aprobación en el DM (Justo/Sean) no sustituye el hilo en #travel-requests: cualquier cargo de hotel/Airbnb sin hilo aprobado se descuenta de nómina (Policy §2, §7).</t>
        </is>
      </c>
    </row>
    <row r="50" ht="32" customHeight="1">
      <c r="A50" s="5" t="inlineStr">
        <is>
          <t>6. RAMP: reconciliar cada cargo (recibo + memo + categoría) antes del 5 del mes siguiente: 5-oct (sep), 5-nov (oct), 5-dic (nov). Comidas con clientes: etiquetar a todos los asistentes.</t>
        </is>
      </c>
    </row>
    <row r="51" ht="32" customHeight="1">
      <c r="A51" s="5" t="inlineStr">
        <is>
          <t>7. Tiquete flex: si vuelves antes, marca 'Sin noche' en los días que sobren y pon las comidas en 0, o borra las filas. Los totales se recalculan solos.</t>
        </is>
      </c>
    </row>
  </sheetData>
  <mergeCells count="7">
    <mergeCell ref="A51:G51"/>
    <mergeCell ref="A50:G50"/>
    <mergeCell ref="A48:G48"/>
    <mergeCell ref="A49:G49"/>
    <mergeCell ref="A47:G47"/>
    <mergeCell ref="A45:G45"/>
    <mergeCell ref="A46:G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pane ySplit="7" topLeftCell="A8" activePane="bottomLeft" state="frozen"/>
      <selection pane="bottomLeft" activeCell="A1" sqref="A1"/>
    </sheetView>
  </sheetViews>
  <sheetFormatPr baseColWidth="8" defaultRowHeight="15"/>
  <cols>
    <col width="52" customWidth="1" min="1" max="1"/>
    <col width="18" customWidth="1" min="2" max="2"/>
    <col width="18" customWidth="1" min="3" max="3"/>
    <col width="14" customWidth="1" min="4" max="4"/>
    <col width="14" customWidth="1" min="5" max="5"/>
    <col width="11" customWidth="1" min="6" max="6"/>
    <col width="90" customWidth="1" min="7" max="7"/>
  </cols>
  <sheetData>
    <row r="1">
      <c r="A1" s="16" t="inlineStr">
        <is>
          <t>Supuestos y escenarios</t>
        </is>
      </c>
    </row>
    <row r="2">
      <c r="A2" s="17" t="inlineStr">
        <is>
          <t>Celdas amarillas = editables. Todo lo demás se recalcula. Montos en USD.</t>
        </is>
      </c>
    </row>
    <row r="3">
      <c r="A3" s="18" t="inlineStr">
        <is>
          <t>Escenario activo (mueve la tabla Día a día)</t>
        </is>
      </c>
      <c r="B3" s="19" t="inlineStr">
        <is>
          <t>Realista</t>
        </is>
      </c>
    </row>
    <row r="4">
      <c r="A4" s="5" t="inlineStr">
        <is>
          <t>Índice de escenario (auto)</t>
        </is>
      </c>
      <c r="B4">
        <f>IF(B3="Política",1,IF(B3="Realista",2,3))</f>
        <v/>
      </c>
    </row>
    <row r="5">
      <c r="A5" s="5" t="inlineStr">
        <is>
          <t>Tu parte del Airbnb (compartido con Samuel)</t>
        </is>
      </c>
      <c r="B5" s="20" t="n">
        <v>0.5</v>
      </c>
    </row>
    <row r="6">
      <c r="A6" s="5" t="n"/>
    </row>
    <row r="7">
      <c r="A7" s="21" t="inlineStr">
        <is>
          <t>Categoría (por día / por noche)</t>
        </is>
      </c>
      <c r="B7" s="9" t="inlineStr">
        <is>
          <t>Política (tope Yuno)</t>
        </is>
      </c>
      <c r="C7" s="9" t="inlineStr">
        <is>
          <t>Realista (mercado SF)</t>
        </is>
      </c>
      <c r="D7" s="9" t="inlineStr">
        <is>
          <t>Ahorro</t>
        </is>
      </c>
      <c r="E7" s="9" t="inlineStr">
        <is>
          <t>Valor activo</t>
        </is>
      </c>
      <c r="F7" s="9" t="inlineStr">
        <is>
          <t>Unidad</t>
        </is>
      </c>
      <c r="G7" s="9" t="inlineStr">
        <is>
          <t>Fuente / nota</t>
        </is>
      </c>
    </row>
    <row r="8">
      <c r="A8" s="5" t="inlineStr">
        <is>
          <t>Airbnb: precio de la unidad por noche (2 pax, sin impuestos)</t>
        </is>
      </c>
      <c r="B8" s="22" t="n">
        <v>440</v>
      </c>
      <c r="C8" s="22" t="n">
        <v>130</v>
      </c>
      <c r="D8" s="22" t="n">
        <v>121</v>
      </c>
      <c r="E8" s="23">
        <f>CHOOSE($B$4,B8,C8,D8)</f>
        <v/>
      </c>
      <c r="F8" t="inlineStr">
        <is>
          <t>USD/noche</t>
        </is>
      </c>
      <c r="G8" s="5" t="inlineStr">
        <is>
          <t>Política: 2 × $220 (tope hotel SF por persona). Realista: listing SOMA Executive Retreat (2BR) aprobado por Sean como '&lt;$4k/mes' = ~$130/noche. CONFIRMAR con el precio real del listing. Ahorro: cuartil inferior Airbnb SF $121 (AirROI 2026).</t>
        </is>
      </c>
    </row>
    <row r="9">
      <c r="A9" s="5" t="inlineStr">
        <is>
          <t>Airbnb: tu parte por noche (sin impuestos)</t>
        </is>
      </c>
      <c r="B9" s="23">
        <f>B8*$B$5</f>
        <v/>
      </c>
      <c r="C9" s="23">
        <f>C8*$B$5</f>
        <v/>
      </c>
      <c r="D9" s="23">
        <f>D8*$B$5</f>
        <v/>
      </c>
      <c r="E9" s="23">
        <f>CHOOSE($B$4,B9,C9,D9)</f>
        <v/>
      </c>
      <c r="F9" t="inlineStr">
        <is>
          <t>USD/noche</t>
        </is>
      </c>
      <c r="G9" s="5">
        <f> unidad × tu parte.</f>
        <v/>
      </c>
    </row>
    <row r="10">
      <c r="A10" s="5" t="inlineStr">
        <is>
          <t>Impuestos Airbnb (TOT 14% + TID 2,25%) si la reserva es &lt; 30 noches</t>
        </is>
      </c>
      <c r="B10" s="24">
        <f>IF(Resumen!$B$9&lt;30,0.1625,0)</f>
        <v/>
      </c>
      <c r="C10" s="24">
        <f>IF(Resumen!$B$9&lt;30,0.1625,0)</f>
        <v/>
      </c>
      <c r="D10" s="24">
        <f>IF(Resumen!$B$9&lt;30,0.1625,0)</f>
        <v/>
      </c>
      <c r="E10" s="24">
        <f>CHOOSE($B$4,B10,C10,D10)</f>
        <v/>
      </c>
      <c r="F10" t="inlineStr">
        <is>
          <t>%</t>
        </is>
      </c>
      <c r="G10" s="5" t="inlineStr">
        <is>
          <t>SF Transient Occupancy Tax 14% + Tourism Improvement District 2,25% aplican solo a estadías &lt; 30 noches (sftreasurer.org). Con 30+ noches queda en 0%.</t>
        </is>
      </c>
    </row>
    <row r="11">
      <c r="A11" s="5" t="inlineStr">
        <is>
          <t>Desayuno</t>
        </is>
      </c>
      <c r="B11" s="22" t="n">
        <v>15</v>
      </c>
      <c r="C11" s="22" t="n">
        <v>12</v>
      </c>
      <c r="D11" s="22" t="n">
        <v>5</v>
      </c>
      <c r="E11" s="23">
        <f>CHOOSE($B$4,B11,C11,D11)</f>
        <v/>
      </c>
      <c r="F11" t="inlineStr">
        <is>
          <t>USD/día</t>
        </is>
      </c>
      <c r="G11" s="5" t="inlineStr">
        <is>
          <t>Política: tope $15 (recibo auto &lt;$30). Realista: café $5,50 + bagel/pastry ~$6 con tax y tip. Ahorro: mercado (Trader Joe's) en el Airbnb.</t>
        </is>
      </c>
    </row>
    <row r="12">
      <c r="A12" s="5" t="inlineStr">
        <is>
          <t>Almuerzo</t>
        </is>
      </c>
      <c r="B12" s="22" t="n">
        <v>25</v>
      </c>
      <c r="C12" s="22" t="n">
        <v>25</v>
      </c>
      <c r="D12" s="22" t="n">
        <v>15</v>
      </c>
      <c r="E12" s="23">
        <f>CHOOSE($B$4,B12,C12,D12)</f>
        <v/>
      </c>
      <c r="F12" t="inlineStr">
        <is>
          <t>USD/día</t>
        </is>
      </c>
      <c r="G12" s="5" t="inlineStr">
        <is>
          <t>Política: tope $25. Realista: casual $15–25 en menú + ~30% (tax 8,625% + SF Mandate 3–7% + tip 18–20%). Ahorro: fast-casual / bowl ~$12 + tax.</t>
        </is>
      </c>
    </row>
    <row r="13">
      <c r="A13" s="5" t="inlineStr">
        <is>
          <t>Cena</t>
        </is>
      </c>
      <c r="B13" s="22" t="n">
        <v>50</v>
      </c>
      <c r="C13" s="22" t="n">
        <v>45</v>
      </c>
      <c r="D13" s="22" t="n">
        <v>20</v>
      </c>
      <c r="E13" s="23">
        <f>CHOOSE($B$4,B13,C13,D13)</f>
        <v/>
      </c>
      <c r="F13" t="inlineStr">
        <is>
          <t>USD/día</t>
        </is>
      </c>
      <c r="G13" s="5" t="inlineStr">
        <is>
          <t>Política: tope $50 (recibo obligatorio, tip incluido). Realista: plato $20–40 + bebida + 30%. Ahorro: cocinar (groceries $400–500/mes = ~$15/día).</t>
        </is>
      </c>
    </row>
    <row r="14">
      <c r="A14" s="5" t="inlineStr">
        <is>
          <t>Transporte local</t>
        </is>
      </c>
      <c r="B14" s="22" t="n">
        <v>55</v>
      </c>
      <c r="C14" s="22" t="n">
        <v>15</v>
      </c>
      <c r="D14" s="22" t="n">
        <v>6</v>
      </c>
      <c r="E14" s="23">
        <f>CHOOSE($B$4,B14,C14,D14)</f>
        <v/>
      </c>
      <c r="F14" t="inlineStr">
        <is>
          <t>USD/día</t>
        </is>
      </c>
      <c r="G14" s="5" t="inlineStr">
        <is>
          <t>Política: tope $55/día (Uber default, transporte público primero). Realista: Muni pass 'A' $104/mes + 3–4 Uber/semana × ~$25. Ahorro: solo Muni/BART ($2,85/viaje, pass M $86).</t>
        </is>
      </c>
    </row>
    <row r="15">
      <c r="A15" s="5" t="inlineStr">
        <is>
          <t>Otros diarios (snacks, agua, propinas varias, farmacia)</t>
        </is>
      </c>
      <c r="B15" s="22" t="n">
        <v>0</v>
      </c>
      <c r="C15" s="22" t="n">
        <v>5</v>
      </c>
      <c r="D15" s="22" t="n">
        <v>2</v>
      </c>
      <c r="E15" s="23">
        <f>CHOOSE($B$4,B15,C15,D15)</f>
        <v/>
      </c>
      <c r="F15" t="inlineStr">
        <is>
          <t>USD/día</t>
        </is>
      </c>
      <c r="G15" s="5" t="inlineStr">
        <is>
          <t>No es una categoría de la política: sale de tu bolsillo salvo que tenga propósito de negocio.</t>
        </is>
      </c>
    </row>
    <row r="16">
      <c r="A16" s="5" t="n"/>
    </row>
    <row r="17">
      <c r="A17" s="21" t="inlineStr">
        <is>
          <t>Gastos únicos (una sola vez en el viaje)</t>
        </is>
      </c>
      <c r="B17" s="9" t="inlineStr">
        <is>
          <t>Política (tope Yuno)</t>
        </is>
      </c>
      <c r="C17" s="9" t="inlineStr">
        <is>
          <t>Realista</t>
        </is>
      </c>
      <c r="D17" s="9" t="inlineStr">
        <is>
          <t>Ahorro</t>
        </is>
      </c>
      <c r="E17" s="9" t="inlineStr">
        <is>
          <t>Valor activo</t>
        </is>
      </c>
      <c r="F17" s="9" t="inlineStr">
        <is>
          <t>Unidad</t>
        </is>
      </c>
      <c r="G17" s="9" t="inlineStr">
        <is>
          <t>Fuente / nota</t>
        </is>
      </c>
    </row>
    <row r="18">
      <c r="A18" s="5" t="inlineStr">
        <is>
          <t>Vuelo BOG–SFO ida y vuelta (YA COMPRADO)</t>
        </is>
      </c>
      <c r="B18" s="22" t="n">
        <v>1064</v>
      </c>
      <c r="C18" s="22" t="n">
        <v>1064</v>
      </c>
      <c r="D18" s="22" t="n">
        <v>1064</v>
      </c>
      <c r="E18" s="23">
        <f>CHOOSE($B$4,B18,C18,D18)</f>
        <v/>
      </c>
      <c r="F18" t="inlineStr">
        <is>
          <t>USD</t>
        </is>
      </c>
      <c r="G18" s="5" t="inlineStr">
        <is>
          <t>Pagado. Avianca Flex vía SAL (hilo #travel-requests 14-sep). Tiquete flex: puedes volver antes.</t>
        </is>
      </c>
    </row>
    <row r="19">
      <c r="A19" s="5" t="inlineStr">
        <is>
          <t>Traslado SFO → Airbnb (28-sep, llegada)</t>
        </is>
      </c>
      <c r="B19" s="22" t="n">
        <v>0</v>
      </c>
      <c r="C19" s="22" t="n">
        <v>45</v>
      </c>
      <c r="D19" s="22" t="n">
        <v>11.15</v>
      </c>
      <c r="E19" s="23">
        <f>CHOOSE($B$4,B19,C19,D19)</f>
        <v/>
      </c>
      <c r="F19" t="inlineStr">
        <is>
          <t>USD</t>
        </is>
      </c>
      <c r="G19" s="5" t="inlineStr">
        <is>
          <t>Política: cabe dentro del tope de $55/día, por eso 0 extra. Realista: UberX SFO–downtown $35–55 (+$5,50 airport surcharge). Ahorro: BART $11,15.</t>
        </is>
      </c>
    </row>
    <row r="20">
      <c r="A20" s="5" t="inlineStr">
        <is>
          <t>Traslado casa → SFO (4-nov, salida)</t>
        </is>
      </c>
      <c r="B20" s="22" t="n">
        <v>0</v>
      </c>
      <c r="C20" s="22" t="n">
        <v>11.15</v>
      </c>
      <c r="D20" s="22" t="n">
        <v>11.15</v>
      </c>
      <c r="E20" s="23">
        <f>CHOOSE($B$4,B20,C20,D20)</f>
        <v/>
      </c>
      <c r="F20" t="inlineStr">
        <is>
          <t>USD</t>
        </is>
      </c>
      <c r="G20" s="5" t="inlineStr">
        <is>
          <t>BART desde el centro $11,15 (una vía). Sube a 45 si vas en Uber con maletas.</t>
        </is>
      </c>
    </row>
    <row r="21">
      <c r="A21" s="5" t="inlineStr">
        <is>
          <t>eSIM / datos móviles (38 días)</t>
        </is>
      </c>
      <c r="B21" s="22" t="n">
        <v>75</v>
      </c>
      <c r="C21" s="22" t="n">
        <v>75</v>
      </c>
      <c r="D21" s="22" t="n">
        <v>57</v>
      </c>
      <c r="E21" s="23">
        <f>CHOOSE($B$4,B21,C21,D21)</f>
        <v/>
      </c>
      <c r="F21" t="inlineStr">
        <is>
          <t>USD</t>
        </is>
      </c>
      <c r="G21" s="5" t="inlineStr">
        <is>
          <t>Reembolsable con recibo (Policy §9). T-Mobile US Pass $50/30 días + $25/7 días (se activa dentro de EE.UU.). Ahorro: Airalo 50 GB/30 días $42 + top-up.</t>
        </is>
      </c>
    </row>
    <row r="22">
      <c r="A22" s="5" t="inlineStr">
        <is>
          <t>Lavandería / varios únicos</t>
        </is>
      </c>
      <c r="B22" s="22" t="n">
        <v>0</v>
      </c>
      <c r="C22" s="22" t="n">
        <v>20</v>
      </c>
      <c r="D22" s="22" t="n">
        <v>20</v>
      </c>
      <c r="E22" s="23">
        <f>CHOOSE($B$4,B22,C22,D22)</f>
        <v/>
      </c>
      <c r="F22" t="inlineStr">
        <is>
          <t>USD</t>
        </is>
      </c>
      <c r="G22" s="5" t="inlineStr">
        <is>
          <t>El listing tiene lavadora. Wash &amp; fold en SF $2,39–2,50/lb si la necesitas.</t>
        </is>
      </c>
    </row>
    <row r="23">
      <c r="A23" s="5" t="n"/>
    </row>
    <row r="24">
      <c r="A24" s="5" t="inlineStr">
        <is>
          <t>Comidas con clientes / equipo (número estimado en el viaje)</t>
        </is>
      </c>
      <c r="B24" s="25" t="n">
        <v>0</v>
      </c>
      <c r="C24" t="inlineStr">
        <is>
          <t>Tope $85 por persona (SF). Requiere etiquetar asistentes en RAMP. No cuenta contra tus topes individuales. Déjalo en 0 si no lo quieres en el presupuesto.</t>
        </is>
      </c>
    </row>
    <row r="25">
      <c r="A25" s="5" t="inlineStr">
        <is>
          <t>Costo por comida con clientes (tope SF por persona)</t>
        </is>
      </c>
      <c r="B25" s="23" t="n">
        <v>85</v>
      </c>
    </row>
    <row r="26">
      <c r="A26" s="5" t="inlineStr">
        <is>
          <t>Total comidas con clientes / equipo</t>
        </is>
      </c>
      <c r="B26" s="26">
        <f>B24*B25</f>
        <v/>
      </c>
    </row>
  </sheetData>
  <dataValidations count="1">
    <dataValidation sqref="B3" showDropDown="0" showInputMessage="0" showErrorMessage="0" allowBlank="0" type="list">
      <formula1>"Política,Realista,Ahorro"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8" customWidth="1" min="3" max="3"/>
    <col width="20" customWidth="1" min="4" max="4"/>
    <col width="14" customWidth="1" min="5" max="5"/>
    <col width="11" customWidth="1" min="6" max="6"/>
    <col width="11" customWidth="1" min="7" max="7"/>
    <col width="11" customWidth="1" min="8" max="8"/>
    <col width="12" customWidth="1" min="9" max="9"/>
    <col width="10" customWidth="1" min="10" max="10"/>
    <col width="14" customWidth="1" min="11" max="11"/>
    <col width="16" customWidth="1" min="12" max="12"/>
    <col width="14" customWidth="1" min="13" max="13"/>
    <col width="70" customWidth="1" min="14" max="14"/>
  </cols>
  <sheetData>
    <row r="1">
      <c r="A1" s="1" t="inlineStr">
        <is>
          <t>Presupuesto día a día · San Francisco · 28-sep → 4-nov-2026</t>
        </is>
      </c>
    </row>
    <row r="2">
      <c r="A2" s="2">
        <f>"Escenario activo: "&amp;Supuestos!B3&amp;"   |   Cambia el escenario en Supuestos!B3. Cambia el alojamiento de cada noche con el desplegable de la columna D."</f>
        <v/>
      </c>
    </row>
    <row r="4">
      <c r="A4" s="9" t="inlineStr">
        <is>
          <t>Fecha</t>
        </is>
      </c>
      <c r="B4" s="9" t="inlineStr">
        <is>
          <t>Día</t>
        </is>
      </c>
      <c r="C4" s="9" t="inlineStr">
        <is>
          <t>Semana</t>
        </is>
      </c>
      <c r="D4" s="9" t="inlineStr">
        <is>
          <t>Dónde duermes esta noche</t>
        </is>
      </c>
      <c r="E4" s="9" t="inlineStr">
        <is>
          <t>Alojamiento $</t>
        </is>
      </c>
      <c r="F4" s="9" t="inlineStr">
        <is>
          <t>Desayuno</t>
        </is>
      </c>
      <c r="G4" s="9" t="inlineStr">
        <is>
          <t>Almuerzo</t>
        </is>
      </c>
      <c r="H4" s="9" t="inlineStr">
        <is>
          <t>Cena</t>
        </is>
      </c>
      <c r="I4" s="9" t="inlineStr">
        <is>
          <t>Transporte</t>
        </is>
      </c>
      <c r="J4" s="9" t="inlineStr">
        <is>
          <t>Otros</t>
        </is>
      </c>
      <c r="K4" s="9" t="inlineStr">
        <is>
          <t>Total del día</t>
        </is>
      </c>
      <c r="L4" s="9" t="inlineStr">
        <is>
          <t>Tope política del día</t>
        </is>
      </c>
      <c r="M4" s="9" t="inlineStr">
        <is>
          <t>Margen vs tope</t>
        </is>
      </c>
      <c r="N4" s="9" t="inlineStr">
        <is>
          <t>Notas</t>
        </is>
      </c>
    </row>
    <row r="5">
      <c r="A5" s="15" t="n">
        <v>46293</v>
      </c>
      <c r="B5" s="10" t="inlineStr">
        <is>
          <t>Lunes</t>
        </is>
      </c>
      <c r="C5" s="10" t="inlineStr">
        <is>
          <t>S1</t>
        </is>
      </c>
      <c r="D5" s="27" t="inlineStr">
        <is>
          <t>Airbnb</t>
        </is>
      </c>
      <c r="E5" s="11">
        <f>IF(D5="Airbnb",Supuestos!$E$9*(1+Supuestos!$E$10),0)</f>
        <v/>
      </c>
      <c r="F5" s="11">
        <f>Supuestos!$E$11</f>
        <v/>
      </c>
      <c r="G5" s="11">
        <f>Supuestos!$E$12</f>
        <v/>
      </c>
      <c r="H5" s="11">
        <f>Supuestos!$E$13</f>
        <v/>
      </c>
      <c r="I5" s="11">
        <f>Supuestos!$E$14+Supuestos!$E$19</f>
        <v/>
      </c>
      <c r="J5" s="11">
        <f>Supuestos!$E$15+Supuestos!$E$21</f>
        <v/>
      </c>
      <c r="K5" s="28">
        <f>SUM(E5:J5)</f>
        <v/>
      </c>
      <c r="L5" s="11">
        <f>IF(D5="Airbnb",Supuestos!$B$9,0)+Supuestos!$B$11+Supuestos!$B$12+Supuestos!$B$13+Supuestos!$B$14</f>
        <v/>
      </c>
      <c r="M5" s="11">
        <f>L5-K5</f>
        <v/>
      </c>
      <c r="N5" s="10" t="inlineStr">
        <is>
          <t>Llegada SFO. Check-in Airbnb 3PM (SoMa). Traslado + eSIM.</t>
        </is>
      </c>
    </row>
    <row r="6">
      <c r="A6" s="15" t="n">
        <v>46294</v>
      </c>
      <c r="B6" s="10" t="inlineStr">
        <is>
          <t>Martes</t>
        </is>
      </c>
      <c r="C6" s="10" t="inlineStr">
        <is>
          <t>S1</t>
        </is>
      </c>
      <c r="D6" s="27" t="inlineStr">
        <is>
          <t>Airbnb</t>
        </is>
      </c>
      <c r="E6" s="11">
        <f>IF(D6="Airbnb",Supuestos!$E$9*(1+Supuestos!$E$10),0)</f>
        <v/>
      </c>
      <c r="F6" s="11">
        <f>Supuestos!$E$11</f>
        <v/>
      </c>
      <c r="G6" s="11">
        <f>Supuestos!$E$12</f>
        <v/>
      </c>
      <c r="H6" s="11">
        <f>Supuestos!$E$13</f>
        <v/>
      </c>
      <c r="I6" s="11">
        <f>Supuestos!$E$14</f>
        <v/>
      </c>
      <c r="J6" s="11">
        <f>Supuestos!$E$15</f>
        <v/>
      </c>
      <c r="K6" s="28">
        <f>SUM(E6:J6)</f>
        <v/>
      </c>
      <c r="L6" s="11">
        <f>IF(D6="Airbnb",Supuestos!$B$9,0)+Supuestos!$B$11+Supuestos!$B$12+Supuestos!$B$13+Supuestos!$B$14</f>
        <v/>
      </c>
      <c r="M6" s="11">
        <f>L6-K6</f>
        <v/>
      </c>
      <c r="N6" s="10" t="inlineStr"/>
    </row>
    <row r="7">
      <c r="A7" s="15" t="n">
        <v>46295</v>
      </c>
      <c r="B7" s="10" t="inlineStr">
        <is>
          <t>Miércoles</t>
        </is>
      </c>
      <c r="C7" s="10" t="inlineStr">
        <is>
          <t>S1</t>
        </is>
      </c>
      <c r="D7" s="27" t="inlineStr">
        <is>
          <t>Airbnb</t>
        </is>
      </c>
      <c r="E7" s="11">
        <f>IF(D7="Airbnb",Supuestos!$E$9*(1+Supuestos!$E$10),0)</f>
        <v/>
      </c>
      <c r="F7" s="11">
        <f>Supuestos!$E$11</f>
        <v/>
      </c>
      <c r="G7" s="11">
        <f>Supuestos!$E$12</f>
        <v/>
      </c>
      <c r="H7" s="11">
        <f>Supuestos!$E$13</f>
        <v/>
      </c>
      <c r="I7" s="11">
        <f>Supuestos!$E$14</f>
        <v/>
      </c>
      <c r="J7" s="11">
        <f>Supuestos!$E$15</f>
        <v/>
      </c>
      <c r="K7" s="28">
        <f>SUM(E7:J7)</f>
        <v/>
      </c>
      <c r="L7" s="11">
        <f>IF(D7="Airbnb",Supuestos!$B$9,0)+Supuestos!$B$11+Supuestos!$B$12+Supuestos!$B$13+Supuestos!$B$14</f>
        <v/>
      </c>
      <c r="M7" s="11">
        <f>L7-K7</f>
        <v/>
      </c>
      <c r="N7" s="10" t="inlineStr"/>
    </row>
    <row r="8">
      <c r="A8" s="15" t="n">
        <v>46296</v>
      </c>
      <c r="B8" s="10" t="inlineStr">
        <is>
          <t>Jueves</t>
        </is>
      </c>
      <c r="C8" s="10" t="inlineStr">
        <is>
          <t>S1</t>
        </is>
      </c>
      <c r="D8" s="27" t="inlineStr">
        <is>
          <t>Airbnb</t>
        </is>
      </c>
      <c r="E8" s="11">
        <f>IF(D8="Airbnb",Supuestos!$E$9*(1+Supuestos!$E$10),0)</f>
        <v/>
      </c>
      <c r="F8" s="11">
        <f>Supuestos!$E$11</f>
        <v/>
      </c>
      <c r="G8" s="11">
        <f>Supuestos!$E$12</f>
        <v/>
      </c>
      <c r="H8" s="11">
        <f>Supuestos!$E$13</f>
        <v/>
      </c>
      <c r="I8" s="11">
        <f>Supuestos!$E$14</f>
        <v/>
      </c>
      <c r="J8" s="11">
        <f>Supuestos!$E$15</f>
        <v/>
      </c>
      <c r="K8" s="28">
        <f>SUM(E8:J8)</f>
        <v/>
      </c>
      <c r="L8" s="11">
        <f>IF(D8="Airbnb",Supuestos!$B$9,0)+Supuestos!$B$11+Supuestos!$B$12+Supuestos!$B$13+Supuestos!$B$14</f>
        <v/>
      </c>
      <c r="M8" s="11">
        <f>L8-K8</f>
        <v/>
      </c>
      <c r="N8" s="10" t="inlineStr"/>
    </row>
    <row r="9">
      <c r="A9" s="15" t="n">
        <v>46297</v>
      </c>
      <c r="B9" s="10" t="inlineStr">
        <is>
          <t>Viernes</t>
        </is>
      </c>
      <c r="C9" s="10" t="inlineStr">
        <is>
          <t>S1</t>
        </is>
      </c>
      <c r="D9" s="27" t="inlineStr">
        <is>
          <t>Airbnb</t>
        </is>
      </c>
      <c r="E9" s="11">
        <f>IF(D9="Airbnb",Supuestos!$E$9*(1+Supuestos!$E$10),0)</f>
        <v/>
      </c>
      <c r="F9" s="11">
        <f>Supuestos!$E$11</f>
        <v/>
      </c>
      <c r="G9" s="11">
        <f>Supuestos!$E$12</f>
        <v/>
      </c>
      <c r="H9" s="11">
        <f>Supuestos!$E$13</f>
        <v/>
      </c>
      <c r="I9" s="11">
        <f>Supuestos!$E$14</f>
        <v/>
      </c>
      <c r="J9" s="11">
        <f>Supuestos!$E$15</f>
        <v/>
      </c>
      <c r="K9" s="28">
        <f>SUM(E9:J9)</f>
        <v/>
      </c>
      <c r="L9" s="11">
        <f>IF(D9="Airbnb",Supuestos!$B$9,0)+Supuestos!$B$11+Supuestos!$B$12+Supuestos!$B$13+Supuestos!$B$14</f>
        <v/>
      </c>
      <c r="M9" s="11">
        <f>L9-K9</f>
        <v/>
      </c>
      <c r="N9" s="10" t="inlineStr"/>
    </row>
    <row r="10">
      <c r="A10" s="29" t="n">
        <v>46298</v>
      </c>
      <c r="B10" s="30" t="inlineStr">
        <is>
          <t>Sábado</t>
        </is>
      </c>
      <c r="C10" s="30" t="inlineStr">
        <is>
          <t>S1</t>
        </is>
      </c>
      <c r="D10" s="27" t="inlineStr">
        <is>
          <t>Airbnb</t>
        </is>
      </c>
      <c r="E10" s="11">
        <f>IF(D10="Airbnb",Supuestos!$E$9*(1+Supuestos!$E$10),0)</f>
        <v/>
      </c>
      <c r="F10" s="11">
        <f>Supuestos!$E$11</f>
        <v/>
      </c>
      <c r="G10" s="11">
        <f>Supuestos!$E$12</f>
        <v/>
      </c>
      <c r="H10" s="11">
        <f>Supuestos!$E$13</f>
        <v/>
      </c>
      <c r="I10" s="11">
        <f>Supuestos!$E$14</f>
        <v/>
      </c>
      <c r="J10" s="11">
        <f>Supuestos!$E$15</f>
        <v/>
      </c>
      <c r="K10" s="28">
        <f>SUM(E10:J10)</f>
        <v/>
      </c>
      <c r="L10" s="11">
        <f>IF(D10="Airbnb",Supuestos!$B$9,0)+Supuestos!$B$11+Supuestos!$B$12+Supuestos!$B$13+Supuestos!$B$14</f>
        <v/>
      </c>
      <c r="M10" s="11">
        <f>L10-K10</f>
        <v/>
      </c>
      <c r="N10" s="10" t="inlineStr">
        <is>
          <t>Fin de semana</t>
        </is>
      </c>
    </row>
    <row r="11">
      <c r="A11" s="29" t="n">
        <v>46299</v>
      </c>
      <c r="B11" s="30" t="inlineStr">
        <is>
          <t>Domingo</t>
        </is>
      </c>
      <c r="C11" s="30" t="inlineStr">
        <is>
          <t>S1</t>
        </is>
      </c>
      <c r="D11" s="27" t="inlineStr">
        <is>
          <t>Airbnb</t>
        </is>
      </c>
      <c r="E11" s="11">
        <f>IF(D11="Airbnb",Supuestos!$E$9*(1+Supuestos!$E$10),0)</f>
        <v/>
      </c>
      <c r="F11" s="11">
        <f>Supuestos!$E$11</f>
        <v/>
      </c>
      <c r="G11" s="11">
        <f>Supuestos!$E$12</f>
        <v/>
      </c>
      <c r="H11" s="11">
        <f>Supuestos!$E$13</f>
        <v/>
      </c>
      <c r="I11" s="11">
        <f>Supuestos!$E$14</f>
        <v/>
      </c>
      <c r="J11" s="11">
        <f>Supuestos!$E$15</f>
        <v/>
      </c>
      <c r="K11" s="28">
        <f>SUM(E11:J11)</f>
        <v/>
      </c>
      <c r="L11" s="11">
        <f>IF(D11="Airbnb",Supuestos!$B$9,0)+Supuestos!$B$11+Supuestos!$B$12+Supuestos!$B$13+Supuestos!$B$14</f>
        <v/>
      </c>
      <c r="M11" s="11">
        <f>L11-K11</f>
        <v/>
      </c>
      <c r="N11" s="10" t="inlineStr">
        <is>
          <t>Fin de semana</t>
        </is>
      </c>
    </row>
    <row r="12">
      <c r="A12" s="15" t="n">
        <v>46300</v>
      </c>
      <c r="B12" s="10" t="inlineStr">
        <is>
          <t>Lunes</t>
        </is>
      </c>
      <c r="C12" s="10" t="inlineStr">
        <is>
          <t>S2</t>
        </is>
      </c>
      <c r="D12" s="27" t="inlineStr">
        <is>
          <t>Airbnb</t>
        </is>
      </c>
      <c r="E12" s="11">
        <f>IF(D12="Airbnb",Supuestos!$E$9*(1+Supuestos!$E$10),0)</f>
        <v/>
      </c>
      <c r="F12" s="11">
        <f>Supuestos!$E$11</f>
        <v/>
      </c>
      <c r="G12" s="11">
        <f>Supuestos!$E$12</f>
        <v/>
      </c>
      <c r="H12" s="11">
        <f>Supuestos!$E$13</f>
        <v/>
      </c>
      <c r="I12" s="11">
        <f>Supuestos!$E$14</f>
        <v/>
      </c>
      <c r="J12" s="11">
        <f>Supuestos!$E$15</f>
        <v/>
      </c>
      <c r="K12" s="28">
        <f>SUM(E12:J12)</f>
        <v/>
      </c>
      <c r="L12" s="11">
        <f>IF(D12="Airbnb",Supuestos!$B$9,0)+Supuestos!$B$11+Supuestos!$B$12+Supuestos!$B$13+Supuestos!$B$14</f>
        <v/>
      </c>
      <c r="M12" s="11">
        <f>L12-K12</f>
        <v/>
      </c>
      <c r="N12" s="10" t="inlineStr">
        <is>
          <t>Deadline RAMP: reconciliar cargos de sep (28–30).</t>
        </is>
      </c>
    </row>
    <row r="13">
      <c r="A13" s="15" t="n">
        <v>46301</v>
      </c>
      <c r="B13" s="10" t="inlineStr">
        <is>
          <t>Martes</t>
        </is>
      </c>
      <c r="C13" s="10" t="inlineStr">
        <is>
          <t>S2</t>
        </is>
      </c>
      <c r="D13" s="27" t="inlineStr">
        <is>
          <t>Airbnb</t>
        </is>
      </c>
      <c r="E13" s="11">
        <f>IF(D13="Airbnb",Supuestos!$E$9*(1+Supuestos!$E$10),0)</f>
        <v/>
      </c>
      <c r="F13" s="11">
        <f>Supuestos!$E$11</f>
        <v/>
      </c>
      <c r="G13" s="11">
        <f>Supuestos!$E$12</f>
        <v/>
      </c>
      <c r="H13" s="11">
        <f>Supuestos!$E$13</f>
        <v/>
      </c>
      <c r="I13" s="11">
        <f>Supuestos!$E$14</f>
        <v/>
      </c>
      <c r="J13" s="11">
        <f>Supuestos!$E$15</f>
        <v/>
      </c>
      <c r="K13" s="28">
        <f>SUM(E13:J13)</f>
        <v/>
      </c>
      <c r="L13" s="11">
        <f>IF(D13="Airbnb",Supuestos!$B$9,0)+Supuestos!$B$11+Supuestos!$B$12+Supuestos!$B$13+Supuestos!$B$14</f>
        <v/>
      </c>
      <c r="M13" s="11">
        <f>L13-K13</f>
        <v/>
      </c>
      <c r="N13" s="10" t="inlineStr"/>
    </row>
    <row r="14">
      <c r="A14" s="15" t="n">
        <v>46302</v>
      </c>
      <c r="B14" s="10" t="inlineStr">
        <is>
          <t>Miércoles</t>
        </is>
      </c>
      <c r="C14" s="10" t="inlineStr">
        <is>
          <t>S2</t>
        </is>
      </c>
      <c r="D14" s="27" t="inlineStr">
        <is>
          <t>Airbnb</t>
        </is>
      </c>
      <c r="E14" s="11">
        <f>IF(D14="Airbnb",Supuestos!$E$9*(1+Supuestos!$E$10),0)</f>
        <v/>
      </c>
      <c r="F14" s="11">
        <f>Supuestos!$E$11</f>
        <v/>
      </c>
      <c r="G14" s="11">
        <f>Supuestos!$E$12</f>
        <v/>
      </c>
      <c r="H14" s="11">
        <f>Supuestos!$E$13</f>
        <v/>
      </c>
      <c r="I14" s="11">
        <f>Supuestos!$E$14</f>
        <v/>
      </c>
      <c r="J14" s="11">
        <f>Supuestos!$E$15</f>
        <v/>
      </c>
      <c r="K14" s="28">
        <f>SUM(E14:J14)</f>
        <v/>
      </c>
      <c r="L14" s="11">
        <f>IF(D14="Airbnb",Supuestos!$B$9,0)+Supuestos!$B$11+Supuestos!$B$12+Supuestos!$B$13+Supuestos!$B$14</f>
        <v/>
      </c>
      <c r="M14" s="11">
        <f>L14-K14</f>
        <v/>
      </c>
      <c r="N14" s="10" t="inlineStr"/>
    </row>
    <row r="15">
      <c r="A15" s="15" t="n">
        <v>46303</v>
      </c>
      <c r="B15" s="10" t="inlineStr">
        <is>
          <t>Jueves</t>
        </is>
      </c>
      <c r="C15" s="10" t="inlineStr">
        <is>
          <t>S2</t>
        </is>
      </c>
      <c r="D15" s="27" t="inlineStr">
        <is>
          <t>Airbnb</t>
        </is>
      </c>
      <c r="E15" s="11">
        <f>IF(D15="Airbnb",Supuestos!$E$9*(1+Supuestos!$E$10),0)</f>
        <v/>
      </c>
      <c r="F15" s="11">
        <f>Supuestos!$E$11</f>
        <v/>
      </c>
      <c r="G15" s="11">
        <f>Supuestos!$E$12</f>
        <v/>
      </c>
      <c r="H15" s="11">
        <f>Supuestos!$E$13</f>
        <v/>
      </c>
      <c r="I15" s="11">
        <f>Supuestos!$E$14</f>
        <v/>
      </c>
      <c r="J15" s="11">
        <f>Supuestos!$E$15</f>
        <v/>
      </c>
      <c r="K15" s="28">
        <f>SUM(E15:J15)</f>
        <v/>
      </c>
      <c r="L15" s="11">
        <f>IF(D15="Airbnb",Supuestos!$B$9,0)+Supuestos!$B$11+Supuestos!$B$12+Supuestos!$B$13+Supuestos!$B$14</f>
        <v/>
      </c>
      <c r="M15" s="11">
        <f>L15-K15</f>
        <v/>
      </c>
      <c r="N15" s="10" t="inlineStr"/>
    </row>
    <row r="16">
      <c r="A16" s="15" t="n">
        <v>46304</v>
      </c>
      <c r="B16" s="10" t="inlineStr">
        <is>
          <t>Viernes</t>
        </is>
      </c>
      <c r="C16" s="10" t="inlineStr">
        <is>
          <t>S2</t>
        </is>
      </c>
      <c r="D16" s="27" t="inlineStr">
        <is>
          <t>Airbnb</t>
        </is>
      </c>
      <c r="E16" s="11">
        <f>IF(D16="Airbnb",Supuestos!$E$9*(1+Supuestos!$E$10),0)</f>
        <v/>
      </c>
      <c r="F16" s="11">
        <f>Supuestos!$E$11</f>
        <v/>
      </c>
      <c r="G16" s="11">
        <f>Supuestos!$E$12</f>
        <v/>
      </c>
      <c r="H16" s="11">
        <f>Supuestos!$E$13</f>
        <v/>
      </c>
      <c r="I16" s="11">
        <f>Supuestos!$E$14</f>
        <v/>
      </c>
      <c r="J16" s="11">
        <f>Supuestos!$E$15</f>
        <v/>
      </c>
      <c r="K16" s="28">
        <f>SUM(E16:J16)</f>
        <v/>
      </c>
      <c r="L16" s="11">
        <f>IF(D16="Airbnb",Supuestos!$B$9,0)+Supuestos!$B$11+Supuestos!$B$12+Supuestos!$B$13+Supuestos!$B$14</f>
        <v/>
      </c>
      <c r="M16" s="11">
        <f>L16-K16</f>
        <v/>
      </c>
      <c r="N16" s="10" t="inlineStr"/>
    </row>
    <row r="17">
      <c r="A17" s="29" t="n">
        <v>46305</v>
      </c>
      <c r="B17" s="30" t="inlineStr">
        <is>
          <t>Sábado</t>
        </is>
      </c>
      <c r="C17" s="30" t="inlineStr">
        <is>
          <t>S2</t>
        </is>
      </c>
      <c r="D17" s="27" t="inlineStr">
        <is>
          <t>Airbnb</t>
        </is>
      </c>
      <c r="E17" s="11">
        <f>IF(D17="Airbnb",Supuestos!$E$9*(1+Supuestos!$E$10),0)</f>
        <v/>
      </c>
      <c r="F17" s="11">
        <f>Supuestos!$E$11</f>
        <v/>
      </c>
      <c r="G17" s="11">
        <f>Supuestos!$E$12</f>
        <v/>
      </c>
      <c r="H17" s="11">
        <f>Supuestos!$E$13</f>
        <v/>
      </c>
      <c r="I17" s="11">
        <f>Supuestos!$E$14</f>
        <v/>
      </c>
      <c r="J17" s="11">
        <f>Supuestos!$E$15</f>
        <v/>
      </c>
      <c r="K17" s="28">
        <f>SUM(E17:J17)</f>
        <v/>
      </c>
      <c r="L17" s="11">
        <f>IF(D17="Airbnb",Supuestos!$B$9,0)+Supuestos!$B$11+Supuestos!$B$12+Supuestos!$B$13+Supuestos!$B$14</f>
        <v/>
      </c>
      <c r="M17" s="11">
        <f>L17-K17</f>
        <v/>
      </c>
      <c r="N17" s="10" t="inlineStr">
        <is>
          <t>Fin de semana</t>
        </is>
      </c>
    </row>
    <row r="18">
      <c r="A18" s="29" t="n">
        <v>46306</v>
      </c>
      <c r="B18" s="30" t="inlineStr">
        <is>
          <t>Domingo</t>
        </is>
      </c>
      <c r="C18" s="30" t="inlineStr">
        <is>
          <t>S2</t>
        </is>
      </c>
      <c r="D18" s="27" t="inlineStr">
        <is>
          <t>Airbnb</t>
        </is>
      </c>
      <c r="E18" s="11">
        <f>IF(D18="Airbnb",Supuestos!$E$9*(1+Supuestos!$E$10),0)</f>
        <v/>
      </c>
      <c r="F18" s="11">
        <f>Supuestos!$E$11</f>
        <v/>
      </c>
      <c r="G18" s="11">
        <f>Supuestos!$E$12</f>
        <v/>
      </c>
      <c r="H18" s="11">
        <f>Supuestos!$E$13</f>
        <v/>
      </c>
      <c r="I18" s="11">
        <f>Supuestos!$E$14</f>
        <v/>
      </c>
      <c r="J18" s="11">
        <f>Supuestos!$E$15</f>
        <v/>
      </c>
      <c r="K18" s="28">
        <f>SUM(E18:J18)</f>
        <v/>
      </c>
      <c r="L18" s="11">
        <f>IF(D18="Airbnb",Supuestos!$B$9,0)+Supuestos!$B$11+Supuestos!$B$12+Supuestos!$B$13+Supuestos!$B$14</f>
        <v/>
      </c>
      <c r="M18" s="11">
        <f>L18-K18</f>
        <v/>
      </c>
      <c r="N18" s="10" t="inlineStr">
        <is>
          <t>Fin de semana</t>
        </is>
      </c>
    </row>
    <row r="19">
      <c r="A19" s="15" t="n">
        <v>46307</v>
      </c>
      <c r="B19" s="10" t="inlineStr">
        <is>
          <t>Lunes</t>
        </is>
      </c>
      <c r="C19" s="10" t="inlineStr">
        <is>
          <t>S3</t>
        </is>
      </c>
      <c r="D19" s="27" t="inlineStr">
        <is>
          <t>Airbnb</t>
        </is>
      </c>
      <c r="E19" s="11">
        <f>IF(D19="Airbnb",Supuestos!$E$9*(1+Supuestos!$E$10),0)</f>
        <v/>
      </c>
      <c r="F19" s="11">
        <f>Supuestos!$E$11</f>
        <v/>
      </c>
      <c r="G19" s="11">
        <f>Supuestos!$E$12</f>
        <v/>
      </c>
      <c r="H19" s="11">
        <f>Supuestos!$E$13</f>
        <v/>
      </c>
      <c r="I19" s="11">
        <f>Supuestos!$E$14</f>
        <v/>
      </c>
      <c r="J19" s="11">
        <f>Supuestos!$E$15</f>
        <v/>
      </c>
      <c r="K19" s="28">
        <f>SUM(E19:J19)</f>
        <v/>
      </c>
      <c r="L19" s="11">
        <f>IF(D19="Airbnb",Supuestos!$B$9,0)+Supuestos!$B$11+Supuestos!$B$12+Supuestos!$B$13+Supuestos!$B$14</f>
        <v/>
      </c>
      <c r="M19" s="11">
        <f>L19-K19</f>
        <v/>
      </c>
      <c r="N19" s="10" t="inlineStr"/>
    </row>
    <row r="20">
      <c r="A20" s="15" t="n">
        <v>46308</v>
      </c>
      <c r="B20" s="10" t="inlineStr">
        <is>
          <t>Martes</t>
        </is>
      </c>
      <c r="C20" s="10" t="inlineStr">
        <is>
          <t>S3</t>
        </is>
      </c>
      <c r="D20" s="27" t="inlineStr">
        <is>
          <t>Airbnb</t>
        </is>
      </c>
      <c r="E20" s="11">
        <f>IF(D20="Airbnb",Supuestos!$E$9*(1+Supuestos!$E$10),0)</f>
        <v/>
      </c>
      <c r="F20" s="11">
        <f>Supuestos!$E$11</f>
        <v/>
      </c>
      <c r="G20" s="11">
        <f>Supuestos!$E$12</f>
        <v/>
      </c>
      <c r="H20" s="11">
        <f>Supuestos!$E$13</f>
        <v/>
      </c>
      <c r="I20" s="11">
        <f>Supuestos!$E$14</f>
        <v/>
      </c>
      <c r="J20" s="11">
        <f>Supuestos!$E$15</f>
        <v/>
      </c>
      <c r="K20" s="28">
        <f>SUM(E20:J20)</f>
        <v/>
      </c>
      <c r="L20" s="11">
        <f>IF(D20="Airbnb",Supuestos!$B$9,0)+Supuestos!$B$11+Supuestos!$B$12+Supuestos!$B$13+Supuestos!$B$14</f>
        <v/>
      </c>
      <c r="M20" s="11">
        <f>L20-K20</f>
        <v/>
      </c>
      <c r="N20" s="10" t="inlineStr"/>
    </row>
    <row r="21">
      <c r="A21" s="15" t="n">
        <v>46309</v>
      </c>
      <c r="B21" s="10" t="inlineStr">
        <is>
          <t>Miércoles</t>
        </is>
      </c>
      <c r="C21" s="10" t="inlineStr">
        <is>
          <t>S3</t>
        </is>
      </c>
      <c r="D21" s="27" t="inlineStr">
        <is>
          <t>Airbnb</t>
        </is>
      </c>
      <c r="E21" s="11">
        <f>IF(D21="Airbnb",Supuestos!$E$9*(1+Supuestos!$E$10),0)</f>
        <v/>
      </c>
      <c r="F21" s="11">
        <f>Supuestos!$E$11</f>
        <v/>
      </c>
      <c r="G21" s="11">
        <f>Supuestos!$E$12</f>
        <v/>
      </c>
      <c r="H21" s="11">
        <f>Supuestos!$E$13</f>
        <v/>
      </c>
      <c r="I21" s="11">
        <f>Supuestos!$E$14</f>
        <v/>
      </c>
      <c r="J21" s="11">
        <f>Supuestos!$E$15</f>
        <v/>
      </c>
      <c r="K21" s="28">
        <f>SUM(E21:J21)</f>
        <v/>
      </c>
      <c r="L21" s="11">
        <f>IF(D21="Airbnb",Supuestos!$B$9,0)+Supuestos!$B$11+Supuestos!$B$12+Supuestos!$B$13+Supuestos!$B$14</f>
        <v/>
      </c>
      <c r="M21" s="11">
        <f>L21-K21</f>
        <v/>
      </c>
      <c r="N21" s="10" t="inlineStr"/>
    </row>
    <row r="22">
      <c r="A22" s="15" t="n">
        <v>46310</v>
      </c>
      <c r="B22" s="10" t="inlineStr">
        <is>
          <t>Jueves</t>
        </is>
      </c>
      <c r="C22" s="10" t="inlineStr">
        <is>
          <t>S3</t>
        </is>
      </c>
      <c r="D22" s="27" t="inlineStr">
        <is>
          <t>Airbnb</t>
        </is>
      </c>
      <c r="E22" s="11">
        <f>IF(D22="Airbnb",Supuestos!$E$9*(1+Supuestos!$E$10),0)</f>
        <v/>
      </c>
      <c r="F22" s="11">
        <f>Supuestos!$E$11</f>
        <v/>
      </c>
      <c r="G22" s="11">
        <f>Supuestos!$E$12</f>
        <v/>
      </c>
      <c r="H22" s="11">
        <f>Supuestos!$E$13</f>
        <v/>
      </c>
      <c r="I22" s="11">
        <f>Supuestos!$E$14</f>
        <v/>
      </c>
      <c r="J22" s="11">
        <f>Supuestos!$E$15</f>
        <v/>
      </c>
      <c r="K22" s="28">
        <f>SUM(E22:J22)</f>
        <v/>
      </c>
      <c r="L22" s="11">
        <f>IF(D22="Airbnb",Supuestos!$B$9,0)+Supuestos!$B$11+Supuestos!$B$12+Supuestos!$B$13+Supuestos!$B$14</f>
        <v/>
      </c>
      <c r="M22" s="11">
        <f>L22-K22</f>
        <v/>
      </c>
      <c r="N22" s="10" t="inlineStr"/>
    </row>
    <row r="23">
      <c r="A23" s="15" t="n">
        <v>46311</v>
      </c>
      <c r="B23" s="10" t="inlineStr">
        <is>
          <t>Viernes</t>
        </is>
      </c>
      <c r="C23" s="10" t="inlineStr">
        <is>
          <t>S3</t>
        </is>
      </c>
      <c r="D23" s="27" t="inlineStr">
        <is>
          <t>Airbnb</t>
        </is>
      </c>
      <c r="E23" s="11">
        <f>IF(D23="Airbnb",Supuestos!$E$9*(1+Supuestos!$E$10),0)</f>
        <v/>
      </c>
      <c r="F23" s="11">
        <f>Supuestos!$E$11</f>
        <v/>
      </c>
      <c r="G23" s="11">
        <f>Supuestos!$E$12</f>
        <v/>
      </c>
      <c r="H23" s="11">
        <f>Supuestos!$E$13</f>
        <v/>
      </c>
      <c r="I23" s="11">
        <f>Supuestos!$E$14</f>
        <v/>
      </c>
      <c r="J23" s="11">
        <f>Supuestos!$E$15</f>
        <v/>
      </c>
      <c r="K23" s="28">
        <f>SUM(E23:J23)</f>
        <v/>
      </c>
      <c r="L23" s="11">
        <f>IF(D23="Airbnb",Supuestos!$B$9,0)+Supuestos!$B$11+Supuestos!$B$12+Supuestos!$B$13+Supuestos!$B$14</f>
        <v/>
      </c>
      <c r="M23" s="11">
        <f>L23-K23</f>
        <v/>
      </c>
      <c r="N23" s="10" t="inlineStr"/>
    </row>
    <row r="24">
      <c r="A24" s="29" t="n">
        <v>46312</v>
      </c>
      <c r="B24" s="30" t="inlineStr">
        <is>
          <t>Sábado</t>
        </is>
      </c>
      <c r="C24" s="30" t="inlineStr">
        <is>
          <t>S3</t>
        </is>
      </c>
      <c r="D24" s="27" t="inlineStr">
        <is>
          <t>Airbnb</t>
        </is>
      </c>
      <c r="E24" s="11">
        <f>IF(D24="Airbnb",Supuestos!$E$9*(1+Supuestos!$E$10),0)</f>
        <v/>
      </c>
      <c r="F24" s="11">
        <f>Supuestos!$E$11</f>
        <v/>
      </c>
      <c r="G24" s="11">
        <f>Supuestos!$E$12</f>
        <v/>
      </c>
      <c r="H24" s="11">
        <f>Supuestos!$E$13</f>
        <v/>
      </c>
      <c r="I24" s="11">
        <f>Supuestos!$E$14</f>
        <v/>
      </c>
      <c r="J24" s="11">
        <f>Supuestos!$E$15</f>
        <v/>
      </c>
      <c r="K24" s="28">
        <f>SUM(E24:J24)</f>
        <v/>
      </c>
      <c r="L24" s="11">
        <f>IF(D24="Airbnb",Supuestos!$B$9,0)+Supuestos!$B$11+Supuestos!$B$12+Supuestos!$B$13+Supuestos!$B$14</f>
        <v/>
      </c>
      <c r="M24" s="11">
        <f>L24-K24</f>
        <v/>
      </c>
      <c r="N24" s="10" t="inlineStr">
        <is>
          <t>Fin de semana</t>
        </is>
      </c>
    </row>
    <row r="25">
      <c r="A25" s="29" t="n">
        <v>46313</v>
      </c>
      <c r="B25" s="30" t="inlineStr">
        <is>
          <t>Domingo</t>
        </is>
      </c>
      <c r="C25" s="30" t="inlineStr">
        <is>
          <t>S3</t>
        </is>
      </c>
      <c r="D25" s="27" t="inlineStr">
        <is>
          <t>Airbnb</t>
        </is>
      </c>
      <c r="E25" s="11">
        <f>IF(D25="Airbnb",Supuestos!$E$9*(1+Supuestos!$E$10),0)</f>
        <v/>
      </c>
      <c r="F25" s="11">
        <f>Supuestos!$E$11</f>
        <v/>
      </c>
      <c r="G25" s="11">
        <f>Supuestos!$E$12</f>
        <v/>
      </c>
      <c r="H25" s="11">
        <f>Supuestos!$E$13</f>
        <v/>
      </c>
      <c r="I25" s="11">
        <f>Supuestos!$E$14</f>
        <v/>
      </c>
      <c r="J25" s="11">
        <f>Supuestos!$E$15</f>
        <v/>
      </c>
      <c r="K25" s="28">
        <f>SUM(E25:J25)</f>
        <v/>
      </c>
      <c r="L25" s="11">
        <f>IF(D25="Airbnb",Supuestos!$B$9,0)+Supuestos!$B$11+Supuestos!$B$12+Supuestos!$B$13+Supuestos!$B$14</f>
        <v/>
      </c>
      <c r="M25" s="11">
        <f>L25-K25</f>
        <v/>
      </c>
      <c r="N25" s="10" t="inlineStr">
        <is>
          <t>Fin de semana</t>
        </is>
      </c>
    </row>
    <row r="26">
      <c r="A26" s="15" t="n">
        <v>46314</v>
      </c>
      <c r="B26" s="10" t="inlineStr">
        <is>
          <t>Lunes</t>
        </is>
      </c>
      <c r="C26" s="10" t="inlineStr">
        <is>
          <t>S4</t>
        </is>
      </c>
      <c r="D26" s="27" t="inlineStr">
        <is>
          <t>Airbnb</t>
        </is>
      </c>
      <c r="E26" s="11">
        <f>IF(D26="Airbnb",Supuestos!$E$9*(1+Supuestos!$E$10),0)</f>
        <v/>
      </c>
      <c r="F26" s="11">
        <f>Supuestos!$E$11</f>
        <v/>
      </c>
      <c r="G26" s="11">
        <f>Supuestos!$E$12</f>
        <v/>
      </c>
      <c r="H26" s="11">
        <f>Supuestos!$E$13</f>
        <v/>
      </c>
      <c r="I26" s="11">
        <f>Supuestos!$E$14</f>
        <v/>
      </c>
      <c r="J26" s="11">
        <f>Supuestos!$E$15</f>
        <v/>
      </c>
      <c r="K26" s="28">
        <f>SUM(E26:J26)</f>
        <v/>
      </c>
      <c r="L26" s="11">
        <f>IF(D26="Airbnb",Supuestos!$B$9,0)+Supuestos!$B$11+Supuestos!$B$12+Supuestos!$B$13+Supuestos!$B$14</f>
        <v/>
      </c>
      <c r="M26" s="11">
        <f>L26-K26</f>
        <v/>
      </c>
      <c r="N26" s="10" t="inlineStr"/>
    </row>
    <row r="27">
      <c r="A27" s="15" t="n">
        <v>46315</v>
      </c>
      <c r="B27" s="10" t="inlineStr">
        <is>
          <t>Martes</t>
        </is>
      </c>
      <c r="C27" s="10" t="inlineStr">
        <is>
          <t>S4</t>
        </is>
      </c>
      <c r="D27" s="27" t="inlineStr">
        <is>
          <t>Airbnb</t>
        </is>
      </c>
      <c r="E27" s="11">
        <f>IF(D27="Airbnb",Supuestos!$E$9*(1+Supuestos!$E$10),0)</f>
        <v/>
      </c>
      <c r="F27" s="11">
        <f>Supuestos!$E$11</f>
        <v/>
      </c>
      <c r="G27" s="11">
        <f>Supuestos!$E$12</f>
        <v/>
      </c>
      <c r="H27" s="11">
        <f>Supuestos!$E$13</f>
        <v/>
      </c>
      <c r="I27" s="11">
        <f>Supuestos!$E$14</f>
        <v/>
      </c>
      <c r="J27" s="11">
        <f>Supuestos!$E$15</f>
        <v/>
      </c>
      <c r="K27" s="28">
        <f>SUM(E27:J27)</f>
        <v/>
      </c>
      <c r="L27" s="11">
        <f>IF(D27="Airbnb",Supuestos!$B$9,0)+Supuestos!$B$11+Supuestos!$B$12+Supuestos!$B$13+Supuestos!$B$14</f>
        <v/>
      </c>
      <c r="M27" s="11">
        <f>L27-K27</f>
        <v/>
      </c>
      <c r="N27" s="10" t="inlineStr"/>
    </row>
    <row r="28">
      <c r="A28" s="15" t="n">
        <v>46316</v>
      </c>
      <c r="B28" s="10" t="inlineStr">
        <is>
          <t>Miércoles</t>
        </is>
      </c>
      <c r="C28" s="10" t="inlineStr">
        <is>
          <t>S4</t>
        </is>
      </c>
      <c r="D28" s="27" t="inlineStr">
        <is>
          <t>Airbnb</t>
        </is>
      </c>
      <c r="E28" s="11">
        <f>IF(D28="Airbnb",Supuestos!$E$9*(1+Supuestos!$E$10),0)</f>
        <v/>
      </c>
      <c r="F28" s="11">
        <f>Supuestos!$E$11</f>
        <v/>
      </c>
      <c r="G28" s="11">
        <f>Supuestos!$E$12</f>
        <v/>
      </c>
      <c r="H28" s="11">
        <f>Supuestos!$E$13</f>
        <v/>
      </c>
      <c r="I28" s="11">
        <f>Supuestos!$E$14</f>
        <v/>
      </c>
      <c r="J28" s="11">
        <f>Supuestos!$E$15</f>
        <v/>
      </c>
      <c r="K28" s="28">
        <f>SUM(E28:J28)</f>
        <v/>
      </c>
      <c r="L28" s="11">
        <f>IF(D28="Airbnb",Supuestos!$B$9,0)+Supuestos!$B$11+Supuestos!$B$12+Supuestos!$B$13+Supuestos!$B$14</f>
        <v/>
      </c>
      <c r="M28" s="11">
        <f>L28-K28</f>
        <v/>
      </c>
      <c r="N28" s="10" t="inlineStr"/>
    </row>
    <row r="29">
      <c r="A29" s="15" t="n">
        <v>46317</v>
      </c>
      <c r="B29" s="10" t="inlineStr">
        <is>
          <t>Jueves</t>
        </is>
      </c>
      <c r="C29" s="10" t="inlineStr">
        <is>
          <t>S4</t>
        </is>
      </c>
      <c r="D29" s="27" t="inlineStr">
        <is>
          <t>Airbnb</t>
        </is>
      </c>
      <c r="E29" s="11">
        <f>IF(D29="Airbnb",Supuestos!$E$9*(1+Supuestos!$E$10),0)</f>
        <v/>
      </c>
      <c r="F29" s="11">
        <f>Supuestos!$E$11</f>
        <v/>
      </c>
      <c r="G29" s="11">
        <f>Supuestos!$E$12</f>
        <v/>
      </c>
      <c r="H29" s="11">
        <f>Supuestos!$E$13</f>
        <v/>
      </c>
      <c r="I29" s="11">
        <f>Supuestos!$E$14</f>
        <v/>
      </c>
      <c r="J29" s="11">
        <f>Supuestos!$E$15</f>
        <v/>
      </c>
      <c r="K29" s="28">
        <f>SUM(E29:J29)</f>
        <v/>
      </c>
      <c r="L29" s="11">
        <f>IF(D29="Airbnb",Supuestos!$B$9,0)+Supuestos!$B$11+Supuestos!$B$12+Supuestos!$B$13+Supuestos!$B$14</f>
        <v/>
      </c>
      <c r="M29" s="11">
        <f>L29-K29</f>
        <v/>
      </c>
      <c r="N29" s="10" t="inlineStr"/>
    </row>
    <row r="30">
      <c r="A30" s="15" t="n">
        <v>46318</v>
      </c>
      <c r="B30" s="10" t="inlineStr">
        <is>
          <t>Viernes</t>
        </is>
      </c>
      <c r="C30" s="10" t="inlineStr">
        <is>
          <t>S4</t>
        </is>
      </c>
      <c r="D30" s="27" t="inlineStr">
        <is>
          <t>Airbnb</t>
        </is>
      </c>
      <c r="E30" s="11">
        <f>IF(D30="Airbnb",Supuestos!$E$9*(1+Supuestos!$E$10),0)</f>
        <v/>
      </c>
      <c r="F30" s="11">
        <f>Supuestos!$E$11</f>
        <v/>
      </c>
      <c r="G30" s="11">
        <f>Supuestos!$E$12</f>
        <v/>
      </c>
      <c r="H30" s="11">
        <f>Supuestos!$E$13</f>
        <v/>
      </c>
      <c r="I30" s="11">
        <f>Supuestos!$E$14</f>
        <v/>
      </c>
      <c r="J30" s="11">
        <f>Supuestos!$E$15</f>
        <v/>
      </c>
      <c r="K30" s="28">
        <f>SUM(E30:J30)</f>
        <v/>
      </c>
      <c r="L30" s="11">
        <f>IF(D30="Airbnb",Supuestos!$B$9,0)+Supuestos!$B$11+Supuestos!$B$12+Supuestos!$B$13+Supuestos!$B$14</f>
        <v/>
      </c>
      <c r="M30" s="11">
        <f>L30-K30</f>
        <v/>
      </c>
      <c r="N30" s="10" t="inlineStr"/>
    </row>
    <row r="31">
      <c r="A31" s="29" t="n">
        <v>46319</v>
      </c>
      <c r="B31" s="30" t="inlineStr">
        <is>
          <t>Sábado</t>
        </is>
      </c>
      <c r="C31" s="30" t="inlineStr">
        <is>
          <t>S4</t>
        </is>
      </c>
      <c r="D31" s="27" t="inlineStr">
        <is>
          <t>Airbnb</t>
        </is>
      </c>
      <c r="E31" s="11">
        <f>IF(D31="Airbnb",Supuestos!$E$9*(1+Supuestos!$E$10),0)</f>
        <v/>
      </c>
      <c r="F31" s="11">
        <f>Supuestos!$E$11</f>
        <v/>
      </c>
      <c r="G31" s="11">
        <f>Supuestos!$E$12</f>
        <v/>
      </c>
      <c r="H31" s="11">
        <f>Supuestos!$E$13</f>
        <v/>
      </c>
      <c r="I31" s="11">
        <f>Supuestos!$E$14</f>
        <v/>
      </c>
      <c r="J31" s="11">
        <f>Supuestos!$E$15</f>
        <v/>
      </c>
      <c r="K31" s="28">
        <f>SUM(E31:J31)</f>
        <v/>
      </c>
      <c r="L31" s="11">
        <f>IF(D31="Airbnb",Supuestos!$B$9,0)+Supuestos!$B$11+Supuestos!$B$12+Supuestos!$B$13+Supuestos!$B$14</f>
        <v/>
      </c>
      <c r="M31" s="11">
        <f>L31-K31</f>
        <v/>
      </c>
      <c r="N31" s="10" t="inlineStr">
        <is>
          <t>Fin de semana</t>
        </is>
      </c>
    </row>
    <row r="32">
      <c r="A32" s="29" t="n">
        <v>46320</v>
      </c>
      <c r="B32" s="30" t="inlineStr">
        <is>
          <t>Domingo</t>
        </is>
      </c>
      <c r="C32" s="30" t="inlineStr">
        <is>
          <t>S4</t>
        </is>
      </c>
      <c r="D32" s="27" t="inlineStr">
        <is>
          <t>Casa Joaquín</t>
        </is>
      </c>
      <c r="E32" s="11">
        <f>IF(D32="Airbnb",Supuestos!$E$9*(1+Supuestos!$E$10),0)</f>
        <v/>
      </c>
      <c r="F32" s="11">
        <f>Supuestos!$E$11</f>
        <v/>
      </c>
      <c r="G32" s="11">
        <f>Supuestos!$E$12</f>
        <v/>
      </c>
      <c r="H32" s="11">
        <f>Supuestos!$E$13</f>
        <v/>
      </c>
      <c r="I32" s="11">
        <f>Supuestos!$E$14</f>
        <v/>
      </c>
      <c r="J32" s="11">
        <f>Supuestos!$E$15</f>
        <v/>
      </c>
      <c r="K32" s="28">
        <f>SUM(E32:J32)</f>
        <v/>
      </c>
      <c r="L32" s="11">
        <f>IF(D32="Airbnb",Supuestos!$B$9,0)+Supuestos!$B$11+Supuestos!$B$12+Supuestos!$B$13+Supuestos!$B$14</f>
        <v/>
      </c>
      <c r="M32" s="11">
        <f>L32-K32</f>
        <v/>
      </c>
      <c r="N32" s="10" t="inlineStr">
        <is>
          <t>SUPUESTO: check-out Airbnb y te mudas a casa de Joaquín (10 noches). Si son otras fechas, cambia la columna D.</t>
        </is>
      </c>
    </row>
    <row r="33">
      <c r="A33" s="15" t="n">
        <v>46321</v>
      </c>
      <c r="B33" s="10" t="inlineStr">
        <is>
          <t>Lunes</t>
        </is>
      </c>
      <c r="C33" s="10" t="inlineStr">
        <is>
          <t>S5</t>
        </is>
      </c>
      <c r="D33" s="27" t="inlineStr">
        <is>
          <t>Casa Joaquín</t>
        </is>
      </c>
      <c r="E33" s="11">
        <f>IF(D33="Airbnb",Supuestos!$E$9*(1+Supuestos!$E$10),0)</f>
        <v/>
      </c>
      <c r="F33" s="11">
        <f>Supuestos!$E$11</f>
        <v/>
      </c>
      <c r="G33" s="11">
        <f>Supuestos!$E$12</f>
        <v/>
      </c>
      <c r="H33" s="11">
        <f>Supuestos!$E$13</f>
        <v/>
      </c>
      <c r="I33" s="11">
        <f>Supuestos!$E$14</f>
        <v/>
      </c>
      <c r="J33" s="11">
        <f>Supuestos!$E$15</f>
        <v/>
      </c>
      <c r="K33" s="28">
        <f>SUM(E33:J33)</f>
        <v/>
      </c>
      <c r="L33" s="11">
        <f>IF(D33="Airbnb",Supuestos!$B$9,0)+Supuestos!$B$11+Supuestos!$B$12+Supuestos!$B$13+Supuestos!$B$14</f>
        <v/>
      </c>
      <c r="M33" s="11">
        <f>L33-K33</f>
        <v/>
      </c>
      <c r="N33" s="10" t="inlineStr"/>
    </row>
    <row r="34">
      <c r="A34" s="15" t="n">
        <v>46322</v>
      </c>
      <c r="B34" s="10" t="inlineStr">
        <is>
          <t>Martes</t>
        </is>
      </c>
      <c r="C34" s="10" t="inlineStr">
        <is>
          <t>S5</t>
        </is>
      </c>
      <c r="D34" s="27" t="inlineStr">
        <is>
          <t>Casa Joaquín</t>
        </is>
      </c>
      <c r="E34" s="11">
        <f>IF(D34="Airbnb",Supuestos!$E$9*(1+Supuestos!$E$10),0)</f>
        <v/>
      </c>
      <c r="F34" s="11">
        <f>Supuestos!$E$11</f>
        <v/>
      </c>
      <c r="G34" s="11">
        <f>Supuestos!$E$12</f>
        <v/>
      </c>
      <c r="H34" s="11">
        <f>Supuestos!$E$13</f>
        <v/>
      </c>
      <c r="I34" s="11">
        <f>Supuestos!$E$14</f>
        <v/>
      </c>
      <c r="J34" s="11">
        <f>Supuestos!$E$15</f>
        <v/>
      </c>
      <c r="K34" s="28">
        <f>SUM(E34:J34)</f>
        <v/>
      </c>
      <c r="L34" s="11">
        <f>IF(D34="Airbnb",Supuestos!$B$9,0)+Supuestos!$B$11+Supuestos!$B$12+Supuestos!$B$13+Supuestos!$B$14</f>
        <v/>
      </c>
      <c r="M34" s="11">
        <f>L34-K34</f>
        <v/>
      </c>
      <c r="N34" s="10" t="inlineStr"/>
    </row>
    <row r="35">
      <c r="A35" s="15" t="n">
        <v>46323</v>
      </c>
      <c r="B35" s="10" t="inlineStr">
        <is>
          <t>Miércoles</t>
        </is>
      </c>
      <c r="C35" s="10" t="inlineStr">
        <is>
          <t>S5</t>
        </is>
      </c>
      <c r="D35" s="27" t="inlineStr">
        <is>
          <t>Casa Joaquín</t>
        </is>
      </c>
      <c r="E35" s="11">
        <f>IF(D35="Airbnb",Supuestos!$E$9*(1+Supuestos!$E$10),0)</f>
        <v/>
      </c>
      <c r="F35" s="11">
        <f>Supuestos!$E$11</f>
        <v/>
      </c>
      <c r="G35" s="11">
        <f>Supuestos!$E$12</f>
        <v/>
      </c>
      <c r="H35" s="11">
        <f>Supuestos!$E$13</f>
        <v/>
      </c>
      <c r="I35" s="11">
        <f>Supuestos!$E$14</f>
        <v/>
      </c>
      <c r="J35" s="11">
        <f>Supuestos!$E$15</f>
        <v/>
      </c>
      <c r="K35" s="28">
        <f>SUM(E35:J35)</f>
        <v/>
      </c>
      <c r="L35" s="11">
        <f>IF(D35="Airbnb",Supuestos!$B$9,0)+Supuestos!$B$11+Supuestos!$B$12+Supuestos!$B$13+Supuestos!$B$14</f>
        <v/>
      </c>
      <c r="M35" s="11">
        <f>L35-K35</f>
        <v/>
      </c>
      <c r="N35" s="10" t="inlineStr"/>
    </row>
    <row r="36">
      <c r="A36" s="15" t="n">
        <v>46324</v>
      </c>
      <c r="B36" s="10" t="inlineStr">
        <is>
          <t>Jueves</t>
        </is>
      </c>
      <c r="C36" s="10" t="inlineStr">
        <is>
          <t>S5</t>
        </is>
      </c>
      <c r="D36" s="27" t="inlineStr">
        <is>
          <t>Casa Joaquín</t>
        </is>
      </c>
      <c r="E36" s="11">
        <f>IF(D36="Airbnb",Supuestos!$E$9*(1+Supuestos!$E$10),0)</f>
        <v/>
      </c>
      <c r="F36" s="11">
        <f>Supuestos!$E$11</f>
        <v/>
      </c>
      <c r="G36" s="11">
        <f>Supuestos!$E$12</f>
        <v/>
      </c>
      <c r="H36" s="11">
        <f>Supuestos!$E$13</f>
        <v/>
      </c>
      <c r="I36" s="11">
        <f>Supuestos!$E$14</f>
        <v/>
      </c>
      <c r="J36" s="11">
        <f>Supuestos!$E$15</f>
        <v/>
      </c>
      <c r="K36" s="28">
        <f>SUM(E36:J36)</f>
        <v/>
      </c>
      <c r="L36" s="11">
        <f>IF(D36="Airbnb",Supuestos!$B$9,0)+Supuestos!$B$11+Supuestos!$B$12+Supuestos!$B$13+Supuestos!$B$14</f>
        <v/>
      </c>
      <c r="M36" s="11">
        <f>L36-K36</f>
        <v/>
      </c>
      <c r="N36" s="10" t="inlineStr"/>
    </row>
    <row r="37">
      <c r="A37" s="15" t="n">
        <v>46325</v>
      </c>
      <c r="B37" s="10" t="inlineStr">
        <is>
          <t>Viernes</t>
        </is>
      </c>
      <c r="C37" s="10" t="inlineStr">
        <is>
          <t>S5</t>
        </is>
      </c>
      <c r="D37" s="27" t="inlineStr">
        <is>
          <t>Casa Joaquín</t>
        </is>
      </c>
      <c r="E37" s="11">
        <f>IF(D37="Airbnb",Supuestos!$E$9*(1+Supuestos!$E$10),0)</f>
        <v/>
      </c>
      <c r="F37" s="11">
        <f>Supuestos!$E$11</f>
        <v/>
      </c>
      <c r="G37" s="11">
        <f>Supuestos!$E$12</f>
        <v/>
      </c>
      <c r="H37" s="11">
        <f>Supuestos!$E$13</f>
        <v/>
      </c>
      <c r="I37" s="11">
        <f>Supuestos!$E$14</f>
        <v/>
      </c>
      <c r="J37" s="11">
        <f>Supuestos!$E$15</f>
        <v/>
      </c>
      <c r="K37" s="28">
        <f>SUM(E37:J37)</f>
        <v/>
      </c>
      <c r="L37" s="11">
        <f>IF(D37="Airbnb",Supuestos!$B$9,0)+Supuestos!$B$11+Supuestos!$B$12+Supuestos!$B$13+Supuestos!$B$14</f>
        <v/>
      </c>
      <c r="M37" s="11">
        <f>L37-K37</f>
        <v/>
      </c>
      <c r="N37" s="10" t="inlineStr"/>
    </row>
    <row r="38">
      <c r="A38" s="29" t="n">
        <v>46326</v>
      </c>
      <c r="B38" s="30" t="inlineStr">
        <is>
          <t>Sábado</t>
        </is>
      </c>
      <c r="C38" s="30" t="inlineStr">
        <is>
          <t>S5</t>
        </is>
      </c>
      <c r="D38" s="27" t="inlineStr">
        <is>
          <t>Casa Joaquín</t>
        </is>
      </c>
      <c r="E38" s="11">
        <f>IF(D38="Airbnb",Supuestos!$E$9*(1+Supuestos!$E$10),0)</f>
        <v/>
      </c>
      <c r="F38" s="11">
        <f>Supuestos!$E$11</f>
        <v/>
      </c>
      <c r="G38" s="11">
        <f>Supuestos!$E$12</f>
        <v/>
      </c>
      <c r="H38" s="11">
        <f>Supuestos!$E$13</f>
        <v/>
      </c>
      <c r="I38" s="11">
        <f>Supuestos!$E$14</f>
        <v/>
      </c>
      <c r="J38" s="11">
        <f>Supuestos!$E$15</f>
        <v/>
      </c>
      <c r="K38" s="28">
        <f>SUM(E38:J38)</f>
        <v/>
      </c>
      <c r="L38" s="11">
        <f>IF(D38="Airbnb",Supuestos!$B$9,0)+Supuestos!$B$11+Supuestos!$B$12+Supuestos!$B$13+Supuestos!$B$14</f>
        <v/>
      </c>
      <c r="M38" s="11">
        <f>L38-K38</f>
        <v/>
      </c>
      <c r="N38" s="10" t="inlineStr">
        <is>
          <t>Fin de semana</t>
        </is>
      </c>
    </row>
    <row r="39">
      <c r="A39" s="29" t="n">
        <v>46327</v>
      </c>
      <c r="B39" s="30" t="inlineStr">
        <is>
          <t>Domingo</t>
        </is>
      </c>
      <c r="C39" s="30" t="inlineStr">
        <is>
          <t>S5</t>
        </is>
      </c>
      <c r="D39" s="27" t="inlineStr">
        <is>
          <t>Casa Joaquín</t>
        </is>
      </c>
      <c r="E39" s="11">
        <f>IF(D39="Airbnb",Supuestos!$E$9*(1+Supuestos!$E$10),0)</f>
        <v/>
      </c>
      <c r="F39" s="11">
        <f>Supuestos!$E$11</f>
        <v/>
      </c>
      <c r="G39" s="11">
        <f>Supuestos!$E$12</f>
        <v/>
      </c>
      <c r="H39" s="11">
        <f>Supuestos!$E$13</f>
        <v/>
      </c>
      <c r="I39" s="11">
        <f>Supuestos!$E$14</f>
        <v/>
      </c>
      <c r="J39" s="11">
        <f>Supuestos!$E$15</f>
        <v/>
      </c>
      <c r="K39" s="28">
        <f>SUM(E39:J39)</f>
        <v/>
      </c>
      <c r="L39" s="11">
        <f>IF(D39="Airbnb",Supuestos!$B$9,0)+Supuestos!$B$11+Supuestos!$B$12+Supuestos!$B$13+Supuestos!$B$14</f>
        <v/>
      </c>
      <c r="M39" s="11">
        <f>L39-K39</f>
        <v/>
      </c>
      <c r="N39" s="10" t="inlineStr">
        <is>
          <t>Termina el horario de verano en EE.UU. (PST).</t>
        </is>
      </c>
    </row>
    <row r="40">
      <c r="A40" s="15" t="n">
        <v>46328</v>
      </c>
      <c r="B40" s="10" t="inlineStr">
        <is>
          <t>Lunes</t>
        </is>
      </c>
      <c r="C40" s="10" t="inlineStr">
        <is>
          <t>S6</t>
        </is>
      </c>
      <c r="D40" s="27" t="inlineStr">
        <is>
          <t>Casa Joaquín</t>
        </is>
      </c>
      <c r="E40" s="11">
        <f>IF(D40="Airbnb",Supuestos!$E$9*(1+Supuestos!$E$10),0)</f>
        <v/>
      </c>
      <c r="F40" s="11">
        <f>Supuestos!$E$11</f>
        <v/>
      </c>
      <c r="G40" s="11">
        <f>Supuestos!$E$12</f>
        <v/>
      </c>
      <c r="H40" s="11">
        <f>Supuestos!$E$13</f>
        <v/>
      </c>
      <c r="I40" s="11">
        <f>Supuestos!$E$14</f>
        <v/>
      </c>
      <c r="J40" s="11">
        <f>Supuestos!$E$15</f>
        <v/>
      </c>
      <c r="K40" s="28">
        <f>SUM(E40:J40)</f>
        <v/>
      </c>
      <c r="L40" s="11">
        <f>IF(D40="Airbnb",Supuestos!$B$9,0)+Supuestos!$B$11+Supuestos!$B$12+Supuestos!$B$13+Supuestos!$B$14</f>
        <v/>
      </c>
      <c r="M40" s="11">
        <f>L40-K40</f>
        <v/>
      </c>
      <c r="N40" s="10" t="inlineStr"/>
    </row>
    <row r="41">
      <c r="A41" s="15" t="n">
        <v>46329</v>
      </c>
      <c r="B41" s="10" t="inlineStr">
        <is>
          <t>Martes</t>
        </is>
      </c>
      <c r="C41" s="10" t="inlineStr">
        <is>
          <t>S6</t>
        </is>
      </c>
      <c r="D41" s="27" t="inlineStr">
        <is>
          <t>Casa Joaquín</t>
        </is>
      </c>
      <c r="E41" s="11">
        <f>IF(D41="Airbnb",Supuestos!$E$9*(1+Supuestos!$E$10),0)</f>
        <v/>
      </c>
      <c r="F41" s="11">
        <f>Supuestos!$E$11</f>
        <v/>
      </c>
      <c r="G41" s="11">
        <f>Supuestos!$E$12</f>
        <v/>
      </c>
      <c r="H41" s="11">
        <f>Supuestos!$E$13</f>
        <v/>
      </c>
      <c r="I41" s="11">
        <f>Supuestos!$E$14</f>
        <v/>
      </c>
      <c r="J41" s="11">
        <f>Supuestos!$E$15</f>
        <v/>
      </c>
      <c r="K41" s="28">
        <f>SUM(E41:J41)</f>
        <v/>
      </c>
      <c r="L41" s="11">
        <f>IF(D41="Airbnb",Supuestos!$B$9,0)+Supuestos!$B$11+Supuestos!$B$12+Supuestos!$B$13+Supuestos!$B$14</f>
        <v/>
      </c>
      <c r="M41" s="11">
        <f>L41-K41</f>
        <v/>
      </c>
      <c r="N41" s="10" t="inlineStr"/>
    </row>
    <row r="42">
      <c r="A42" s="15" t="n">
        <v>46330</v>
      </c>
      <c r="B42" s="10" t="inlineStr">
        <is>
          <t>Miércoles</t>
        </is>
      </c>
      <c r="C42" s="10" t="inlineStr">
        <is>
          <t>S6</t>
        </is>
      </c>
      <c r="D42" s="27" t="inlineStr">
        <is>
          <t>Sin noche</t>
        </is>
      </c>
      <c r="E42" s="11">
        <f>IF(D42="Airbnb",Supuestos!$E$9*(1+Supuestos!$E$10),0)</f>
        <v/>
      </c>
      <c r="F42" s="11">
        <f>Supuestos!$E$11</f>
        <v/>
      </c>
      <c r="G42" s="11">
        <f>Supuestos!$E$12</f>
        <v/>
      </c>
      <c r="H42" s="11">
        <f>Supuestos!$E$13</f>
        <v/>
      </c>
      <c r="I42" s="11">
        <f>Supuestos!$E$14+Supuestos!$E$20</f>
        <v/>
      </c>
      <c r="J42" s="11">
        <f>Supuestos!$E$15</f>
        <v/>
      </c>
      <c r="K42" s="28">
        <f>SUM(E42:J42)</f>
        <v/>
      </c>
      <c r="L42" s="11">
        <f>IF(D42="Airbnb",Supuestos!$B$9,0)+Supuestos!$B$11+Supuestos!$B$12+Supuestos!$B$13+Supuestos!$B$14</f>
        <v/>
      </c>
      <c r="M42" s="11">
        <f>L42-K42</f>
        <v/>
      </c>
      <c r="N42" s="10" t="inlineStr">
        <is>
          <t>Vuelo de regreso. Sin noche. Tiquete flex: si vuelves antes, pon 'Sin noche' en los días que sobren y déjalos en 0.</t>
        </is>
      </c>
    </row>
    <row r="43">
      <c r="A43" s="3" t="inlineStr">
        <is>
          <t>TOTAL VIAJE (sin vuelo)</t>
        </is>
      </c>
      <c r="E43" s="12">
        <f>SUM(E5:E42)</f>
        <v/>
      </c>
      <c r="F43" s="12">
        <f>SUM(F5:F42)</f>
        <v/>
      </c>
      <c r="G43" s="12">
        <f>SUM(G5:G42)</f>
        <v/>
      </c>
      <c r="H43" s="12">
        <f>SUM(H5:H42)</f>
        <v/>
      </c>
      <c r="I43" s="12">
        <f>SUM(I5:I42)</f>
        <v/>
      </c>
      <c r="J43" s="12">
        <f>SUM(J5:J42)</f>
        <v/>
      </c>
      <c r="K43" s="12">
        <f>SUM(K5:K42)</f>
        <v/>
      </c>
      <c r="L43" s="12">
        <f>SUM(L5:L42)</f>
        <v/>
      </c>
      <c r="M43" s="12">
        <f>SUM(M5:M42)</f>
        <v/>
      </c>
    </row>
    <row r="44">
      <c r="A44" s="3" t="inlineStr">
        <is>
          <t>Promedio por día</t>
        </is>
      </c>
      <c r="E44" s="13">
        <f>AVERAGE(E5:E42)</f>
        <v/>
      </c>
      <c r="F44" s="13">
        <f>AVERAGE(F5:F42)</f>
        <v/>
      </c>
      <c r="G44" s="13">
        <f>AVERAGE(G5:G42)</f>
        <v/>
      </c>
      <c r="H44" s="13">
        <f>AVERAGE(H5:H42)</f>
        <v/>
      </c>
      <c r="I44" s="13">
        <f>AVERAGE(I5:I42)</f>
        <v/>
      </c>
      <c r="J44" s="13">
        <f>AVERAGE(J5:J42)</f>
        <v/>
      </c>
      <c r="K44" s="13">
        <f>AVERAGE(K5:K42)</f>
        <v/>
      </c>
      <c r="L44" s="13">
        <f>AVERAGE(L5:L42)</f>
        <v/>
      </c>
      <c r="M44" s="13">
        <f>AVERAGE(M5:M42)</f>
        <v/>
      </c>
    </row>
  </sheetData>
  <conditionalFormatting sqref="M5:M42">
    <cfRule type="cellIs" priority="1" operator="lessThan" dxfId="0">
      <formula>0</formula>
    </cfRule>
    <cfRule type="cellIs" priority="2" operator="greaterThanOrEqual" dxfId="1">
      <formula>0</formula>
    </cfRule>
  </conditionalFormatting>
  <dataValidations count="1">
    <dataValidation sqref="D5 D6 D7 D8 D9 D10 D11 D12 D13 D14 D15 D16 D17 D18 D19 D20 D21 D22 D23 D24 D25 D26 D27 D28 D29 D30 D31 D32 D33 D34 D35 D36 D37 D38 D39 D40 D41 D42" showDropDown="0" showInputMessage="0" showErrorMessage="0" allowBlank="0" type="list">
      <formula1>"Airbnb,Casa Joaquín,Sin noche"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48" customWidth="1" min="1" max="1"/>
    <col width="60" customWidth="1" min="2" max="2"/>
    <col width="48" customWidth="1" min="3" max="3"/>
    <col width="80" customWidth="1" min="4" max="4"/>
  </cols>
  <sheetData>
    <row r="1">
      <c r="A1" s="1" t="inlineStr">
        <is>
          <t>Yuno Travel &amp; Expense Policy v1.0 (abr-2026) · lo que aplica a este viaje</t>
        </is>
      </c>
    </row>
    <row r="2">
      <c r="A2" s="2" t="inlineStr">
        <is>
          <t>Fuente: Google Doc 'Travel &amp; Expense Policy' (Finance). Página de ciudad: San Francisco (Parte 3). Topes en USD, duros; exceder sin aprobación escrita = descuento de nómina.</t>
        </is>
      </c>
    </row>
    <row r="4">
      <c r="A4" s="9" t="inlineStr">
        <is>
          <t>Categoría (San Francisco)</t>
        </is>
      </c>
      <c r="B4" s="9" t="inlineStr">
        <is>
          <t>Tope</t>
        </is>
      </c>
      <c r="C4" s="9" t="inlineStr">
        <is>
          <t>Unidad</t>
        </is>
      </c>
      <c r="D4" s="9" t="inlineStr">
        <is>
          <t>Nota de la política</t>
        </is>
      </c>
    </row>
    <row r="5">
      <c r="A5" s="10" t="inlineStr">
        <is>
          <t>Hotel / Airbnb por noche (sin impuestos)</t>
        </is>
      </c>
      <c r="B5" s="11" t="n">
        <v>220</v>
      </c>
      <c r="C5" s="10" t="inlineStr">
        <is>
          <t>USD/noche</t>
        </is>
      </c>
      <c r="D5" s="31" t="inlineStr">
        <is>
          <t>3 estrellas equivalente. Airbnb permitido si cumple el tope. Estadías 7+ noches: contactar a Finance antes de reservar. Considerar Oakland/South Bay si es mucho más barato y BART es práctico.</t>
        </is>
      </c>
    </row>
    <row r="6">
      <c r="A6" s="10" t="inlineStr">
        <is>
          <t>Desayuno</t>
        </is>
      </c>
      <c r="B6" s="11" t="n">
        <v>15</v>
      </c>
      <c r="C6" s="10" t="inlineStr">
        <is>
          <t>USD/comida</t>
        </is>
      </c>
      <c r="D6" s="31" t="inlineStr">
        <is>
          <t>Recibo autogenerado si &lt; $30. Tip incluido en el tope.</t>
        </is>
      </c>
    </row>
    <row r="7">
      <c r="A7" s="10" t="inlineStr">
        <is>
          <t>Almuerzo</t>
        </is>
      </c>
      <c r="B7" s="11" t="n">
        <v>25</v>
      </c>
      <c r="C7" s="10" t="inlineStr">
        <is>
          <t>USD/comida</t>
        </is>
      </c>
      <c r="D7" s="31" t="inlineStr">
        <is>
          <t>Recibo autogenerado si &lt; $30. Tip incluido en el tope.</t>
        </is>
      </c>
    </row>
    <row r="8">
      <c r="A8" s="10" t="inlineStr">
        <is>
          <t>Cena</t>
        </is>
      </c>
      <c r="B8" s="11" t="n">
        <v>50</v>
      </c>
      <c r="C8" s="10" t="inlineStr">
        <is>
          <t>USD/comida</t>
        </is>
      </c>
      <c r="D8" s="31" t="inlineStr">
        <is>
          <t>Recibo obligatorio. Una bebida con la comida es aceptable dentro del tope. Tip incluido.</t>
        </is>
      </c>
    </row>
    <row r="9">
      <c r="A9" s="10" t="inlineStr">
        <is>
          <t>Comida con equipo / cliente, por persona</t>
        </is>
      </c>
      <c r="B9" s="11" t="n">
        <v>85</v>
      </c>
      <c r="C9" s="10" t="inlineStr">
        <is>
          <t>USD/persona</t>
        </is>
      </c>
      <c r="D9" s="31" t="inlineStr">
        <is>
          <t>Etiquetar a todos los asistentes en RAMP + propósito de negocio + recibo siempre.</t>
        </is>
      </c>
    </row>
    <row r="10">
      <c r="A10" s="10" t="inlineStr">
        <is>
          <t>Transporte local por día</t>
        </is>
      </c>
      <c r="B10" s="11" t="n">
        <v>55</v>
      </c>
      <c r="C10" s="10" t="inlineStr">
        <is>
          <t>USD/día</t>
        </is>
      </c>
      <c r="D10" s="31" t="inlineStr">
        <is>
          <t>Uber por defecto; transporte público primero donde exista. BART cubre SFO: siempre primera opción. Lyft solo si Uber no está disponible.</t>
        </is>
      </c>
    </row>
    <row r="11">
      <c r="A11" s="10" t="inlineStr">
        <is>
          <t>Tope total diario implícito (alojamiento + 3 comidas + transporte)</t>
        </is>
      </c>
      <c r="B11" s="11">
        <f>B5+B6+B7+B8+B10</f>
        <v/>
      </c>
      <c r="C11" s="10" t="inlineStr">
        <is>
          <t>USD/día</t>
        </is>
      </c>
      <c r="D11" s="31" t="inlineStr">
        <is>
          <t>Suma de los topes individuales: $220 + $15 + $25 + $50 + $55 = $365. Referencia GSA FY2026 para SF: $272 lodging + $92 M&amp;IE = $364.</t>
        </is>
      </c>
    </row>
    <row r="13">
      <c r="A13" s="9" t="inlineStr">
        <is>
          <t>Regla global</t>
        </is>
      </c>
      <c r="B13" s="9" t="inlineStr">
        <is>
          <t>Qué significa para este viaje</t>
        </is>
      </c>
      <c r="C13" s="9" t="inlineStr">
        <is>
          <t>Estado / acción</t>
        </is>
      </c>
    </row>
    <row r="14">
      <c r="A14" s="31" t="inlineStr">
        <is>
          <t>Aprobación en #travel-requests antes de reservar (§2)</t>
        </is>
      </c>
      <c r="B14" s="31" t="inlineStr">
        <is>
          <t>Vuelo y alojamiento deben tener hilo aprobado por Lex o Joha. El DM con Justo/Sean no es el hilo oficial.</t>
        </is>
      </c>
      <c r="C14" s="31" t="inlineStr">
        <is>
          <t>Vuelo: hilo del 14-sep OK. Airbnb: abrir hilo con el link del listing antes de pagar.</t>
        </is>
      </c>
    </row>
    <row r="15">
      <c r="A15" s="31" t="inlineStr">
        <is>
          <t>Reserva con 10+ días de anticipación (§2, §3)</t>
        </is>
      </c>
      <c r="B15" s="31" t="inlineStr">
        <is>
          <t>Salida 28-sep. La reserva del Airbnb debería estar hecha antes del 18-sep; si no, pedir aprobación escrita del Region Leader.</t>
        </is>
      </c>
      <c r="C15" s="31" t="inlineStr">
        <is>
          <t>Verificar.</t>
        </is>
      </c>
    </row>
    <row r="16">
      <c r="A16" s="31" t="inlineStr">
        <is>
          <t>Estadías de 7+ noches (§4)</t>
        </is>
      </c>
      <c r="B16" s="31" t="inlineStr">
        <is>
          <t>Contactar a Finance antes de reservar. Aplica de lleno (27 noches en Airbnb).</t>
        </is>
      </c>
      <c r="C16" s="31" t="inlineStr">
        <is>
          <t>Escribir a Finance / #travel-requests.</t>
        </is>
      </c>
    </row>
    <row r="17">
      <c r="A17" s="31" t="inlineStr">
        <is>
          <t>Todo con tarjeta RAMP (§1, §7)</t>
        </is>
      </c>
      <c r="B17" s="31" t="inlineStr">
        <is>
          <t>Nada con tarjeta personal salvo autorización escrita de Finance. Cargos personales: avisar y reembolsar en 5 días hábiles.</t>
        </is>
      </c>
      <c r="C17" s="31" t="inlineStr">
        <is>
          <t>Usar RAMP para Airbnb, comidas, transporte, eSIM.</t>
        </is>
      </c>
    </row>
    <row r="18">
      <c r="A18" s="31" t="inlineStr">
        <is>
          <t>Topes por comida, no por día (§5)</t>
        </is>
      </c>
      <c r="B18" s="31" t="inlineStr">
        <is>
          <t>$15 desayuno / $25 almuerzo / $50 cena. No se pueden sumar (p. ej. saltar desayuno y gastar $40 en almuerzo no aplica).</t>
        </is>
      </c>
      <c r="C18" s="31" t="inlineStr">
        <is>
          <t>Presupuesto construido por comida.</t>
        </is>
      </c>
    </row>
    <row r="19">
      <c r="A19" s="31" t="inlineStr">
        <is>
          <t>Tips dentro del tope (§5, NA)</t>
        </is>
      </c>
      <c r="B19" s="31" t="inlineStr">
        <is>
          <t>En EE.UU. el tip (18–20%) va dentro del tope, no encima. Un almuerzo de $25 en menú excede el tope tras tax + tip.</t>
        </is>
      </c>
      <c r="C19" s="31" t="inlineStr">
        <is>
          <t>Apuntar a ~$19 en menú para almuerzo y ~$38 en cena.</t>
        </is>
      </c>
    </row>
    <row r="20">
      <c r="A20" s="31" t="inlineStr">
        <is>
          <t>Reconciliación antes del 5 del mes siguiente (§8)</t>
        </is>
      </c>
      <c r="B20" s="31" t="inlineStr">
        <is>
          <t>Recibo + memo con propósito + categoría (+ asistentes en comidas grupales).</t>
        </is>
      </c>
      <c r="C20" s="31" t="inlineStr">
        <is>
          <t>5-oct, 5-nov, 5-dic.</t>
        </is>
      </c>
    </row>
    <row r="21">
      <c r="A21" s="31" t="inlineStr">
        <is>
          <t>Transporte: público primero, Uber por defecto (§6)</t>
        </is>
      </c>
      <c r="B21" s="31" t="inlineStr">
        <is>
          <t>BART desde SFO; Muni/BART dentro de SF; Uber cuando no sea práctico. Car rental requiere Region Leader.</t>
        </is>
      </c>
      <c r="C21" s="31" t="inlineStr">
        <is>
          <t>Muni pass 'A' $104/mes + BART SFO.</t>
        </is>
      </c>
    </row>
    <row r="22">
      <c r="A22" s="31" t="inlineStr">
        <is>
          <t>Viaje internacional (§9)</t>
        </is>
      </c>
      <c r="B22" s="31" t="inlineStr">
        <is>
          <t>Seguro de viaje lo da la empresa (verificar con People). SIM/datos reembolsables con recibo. Sin adelantos de efectivo.</t>
        </is>
      </c>
      <c r="C22" s="31" t="inlineStr">
        <is>
          <t>Confirmar seguro con People antes del 28-sep.</t>
        </is>
      </c>
    </row>
    <row r="23">
      <c r="A23" s="31" t="inlineStr">
        <is>
          <t>Bleisure (§10)</t>
        </is>
      </c>
      <c r="B23" s="31" t="inlineStr">
        <is>
          <t>Días personales corren por tu cuenta. Si extiendes, avisar a Region Leader y Finance. Con tiquete flex, volver antes no tiene costo de política.</t>
        </is>
      </c>
      <c r="C23" s="31" t="inlineStr">
        <is>
          <t>N/A por ahora.</t>
        </is>
      </c>
    </row>
    <row r="24">
      <c r="A24" s="31" t="inlineStr">
        <is>
          <t>No reembolsable</t>
        </is>
      </c>
      <c r="B24" s="31" t="inlineStr">
        <is>
          <t>Minibar, room service, pay-per-view, alcohol como ítem dominante, upgrades de seguro en alquiler de autos, car service privado.</t>
        </is>
      </c>
      <c r="C24" s="31"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40" customWidth="1" min="1" max="1"/>
    <col width="55" customWidth="1" min="2" max="2"/>
    <col width="50" customWidth="1" min="3" max="3"/>
    <col width="70" customWidth="1" min="4" max="4"/>
  </cols>
  <sheetData>
    <row r="1">
      <c r="A1" s="1" t="inlineStr">
        <is>
          <t>Research de costos reales en San Francisco (sep-2026)</t>
        </is>
      </c>
    </row>
    <row r="2">
      <c r="A2" s="2" t="inlineStr">
        <is>
          <t>Fuentes públicas consultadas el 22-sep-2026. Los rangos alimentan las columnas Realista y Ahorro de Supuestos.</t>
        </is>
      </c>
    </row>
    <row r="4">
      <c r="A4" s="9" t="inlineStr">
        <is>
          <t>Ítem</t>
        </is>
      </c>
      <c r="B4" s="9" t="inlineStr">
        <is>
          <t>Valor / rango</t>
        </is>
      </c>
      <c r="C4" s="9" t="inlineStr">
        <is>
          <t>Cómo lo usé</t>
        </is>
      </c>
      <c r="D4" s="9" t="inlineStr">
        <is>
          <t>Fuente</t>
        </is>
      </c>
    </row>
    <row r="5">
      <c r="A5" s="31" t="inlineStr">
        <is>
          <t>Airbnb SF: tarifa promedio por noche</t>
        </is>
      </c>
      <c r="B5" s="31" t="inlineStr">
        <is>
          <t>$276 promedio; mediana $186; cuartil inferior $121; top 25% $314</t>
        </is>
      </c>
      <c r="C5" s="31" t="inlineStr">
        <is>
          <t>Ahorro = $121 (unidad). Referencia para validar el listing.</t>
        </is>
      </c>
      <c r="D5" s="31" t="inlineStr">
        <is>
          <t>https://www.airroi.com/airbnb-data/united-states/california/san-francisco</t>
        </is>
      </c>
    </row>
    <row r="6">
      <c r="A6" s="31" t="inlineStr">
        <is>
          <t>Airbnb SF: ingreso mensual mediano por listing</t>
        </is>
      </c>
      <c r="B6" s="31" t="inlineStr">
        <is>
          <t>$3,301 / mes</t>
        </is>
      </c>
      <c r="C6" s="31" t="inlineStr">
        <is>
          <t>Consistente con el '&lt;$4k/mes' de Sean para el listing elegido.</t>
        </is>
      </c>
      <c r="D6" s="31" t="inlineStr">
        <is>
          <t>https://www.airroi.com/airbnb-data/united-states/california/san-francisco</t>
        </is>
      </c>
    </row>
    <row r="7">
      <c r="A7" s="31" t="inlineStr">
        <is>
          <t>Apartamentos amoblados por mes (Airbnb-friendly buildings)</t>
        </is>
      </c>
      <c r="B7" s="31" t="inlineStr">
        <is>
          <t>$2,030 – $4,244 / mes (NEMA $3,168; HQ $2,310; 77 Bluxome $2,030; Azure $4,244)</t>
        </is>
      </c>
      <c r="C7" s="31" t="inlineStr">
        <is>
          <t>Alternativa si el Airbnb cae. Con 30+ noches no hay TOT.</t>
        </is>
      </c>
      <c r="D7" s="31" t="inlineStr">
        <is>
          <t>https://www.airbnb.com/airbnb-friendly/apartments/san-francisco-ca</t>
        </is>
      </c>
    </row>
    <row r="8">
      <c r="A8" s="31" t="inlineStr">
        <is>
          <t>Hotel 3 estrellas SF por noche</t>
        </is>
      </c>
      <c r="B8" s="31" t="inlineStr">
        <is>
          <t>$160 – $189 promedio; fines de semana hasta $332</t>
        </is>
      </c>
      <c r="C8" s="31" t="inlineStr">
        <is>
          <t>Comparación vs tope $220. Un hotel 3* solo cabe entre semana.</t>
        </is>
      </c>
      <c r="D8" s="31" t="inlineStr">
        <is>
          <t>https://www.booking.com/threestars/city/us/san-francisco.html</t>
        </is>
      </c>
    </row>
    <row r="9">
      <c r="A9" s="31" t="inlineStr">
        <is>
          <t>Impuestos alojamiento &lt; 30 noches</t>
        </is>
      </c>
      <c r="B9" s="31" t="inlineStr">
        <is>
          <t>TOT 14% + Tourism Improvement District 2,25% (Zona 1)</t>
        </is>
      </c>
      <c r="C9" s="31" t="inlineStr">
        <is>
          <t>Supuestos fila 10. 30+ noches = exento.</t>
        </is>
      </c>
      <c r="D9" s="31" t="inlineStr">
        <is>
          <t>https://sftreasurer.org/business/taxes-fees/transient-occupancy-tax-tot</t>
        </is>
      </c>
    </row>
    <row r="10">
      <c r="A10" s="31" t="inlineStr">
        <is>
          <t>Airbnb: fee de servicio al huésped 2026</t>
        </is>
      </c>
      <c r="B10" s="31" t="inlineStr">
        <is>
          <t>Migró al host (15,5%); el huésped ve precio total sin fee separado</t>
        </is>
      </c>
      <c r="C10" s="31" t="inlineStr">
        <is>
          <t>No añadí fee de servicio aparte.</t>
        </is>
      </c>
      <c r="D10" s="31" t="inlineStr">
        <is>
          <t>https://www.airbnb.com/help/article/1857</t>
        </is>
      </c>
    </row>
    <row r="11">
      <c r="A11" s="31" t="inlineStr">
        <is>
          <t>GSA per diem SF FY2026 (gobierno EE.UU.)</t>
        </is>
      </c>
      <c r="B11" s="31" t="inlineStr">
        <is>
          <t>Lodging $272 / noche; M&amp;IE $92 / día</t>
        </is>
      </c>
      <c r="C11" s="31" t="inlineStr">
        <is>
          <t>Benchmark externo para validar topes Yuno ($220 / $90).</t>
        </is>
      </c>
      <c r="D11" s="31" t="inlineStr">
        <is>
          <t>https://www.gsa.gov/travel/plan-book/per-diem-rates/per-diem-rates-results?action=perdiems_report&amp;city=san+Francisco&amp;fiscal_year=2026&amp;state=CA</t>
        </is>
      </c>
    </row>
    <row r="12">
      <c r="A12" s="31" t="inlineStr">
        <is>
          <t>Café / desayuno</t>
        </is>
      </c>
      <c r="B12" s="31" t="inlineStr">
        <is>
          <t>Café $4–6 (latte $5,55); pastry/bagel $5–7</t>
        </is>
      </c>
      <c r="C12" s="31" t="inlineStr">
        <is>
          <t>Realista desayuno $12.</t>
        </is>
      </c>
      <c r="D12" s="31" t="inlineStr">
        <is>
          <t>https://www.expatistan.com/cost-of-living/san-francisco</t>
        </is>
      </c>
    </row>
    <row r="13">
      <c r="A13" s="31" t="inlineStr">
        <is>
          <t>Almuerzo casual</t>
        </is>
      </c>
      <c r="B13" s="31" t="inlineStr">
        <is>
          <t>$15–25 en menú; combo fast-food ~$12</t>
        </is>
      </c>
      <c r="C13" s="31" t="inlineStr">
        <is>
          <t>Realista almuerzo $25 con tax + tip.</t>
        </is>
      </c>
      <c r="D13" s="31" t="inlineStr">
        <is>
          <t>https://www.worldcostofliving.com/city/san-francisco-usa</t>
        </is>
      </c>
    </row>
    <row r="14">
      <c r="A14" s="31" t="inlineStr">
        <is>
          <t>Cena mid-range</t>
        </is>
      </c>
      <c r="B14" s="31" t="inlineStr">
        <is>
          <t>Plato $20–40; comida para dos $59–120; 3 tiempos ~$100</t>
        </is>
      </c>
      <c r="C14" s="31" t="inlineStr">
        <is>
          <t>Realista cena $45.</t>
        </is>
      </c>
      <c r="D14" s="31" t="inlineStr">
        <is>
          <t>https://www.expatistan.com/cost-of-living/san-francisco</t>
        </is>
      </c>
    </row>
    <row r="15">
      <c r="A15" s="31" t="inlineStr">
        <is>
          <t>Recargos en restaurantes</t>
        </is>
      </c>
      <c r="B15" s="31" t="inlineStr">
        <is>
          <t>Sales tax 8,625% + SF Mandate (health) 3–7% + tip 17–22% = ~30% sobre el menú</t>
        </is>
      </c>
      <c r="C15" s="31" t="inlineStr">
        <is>
          <t>Explica por qué el tope de $25 se alcanza con un plato de ~$19.</t>
        </is>
      </c>
      <c r="D15" s="31" t="inlineStr">
        <is>
          <t>https://www.sfchronicle.com/food/restaurants/article/surcharge-fee-san-francisco-19561318.php</t>
        </is>
      </c>
    </row>
    <row r="16">
      <c r="A16" s="31" t="inlineStr">
        <is>
          <t>Mercado / groceries (1 persona)</t>
        </is>
      </c>
      <c r="B16" s="31" t="inlineStr">
        <is>
          <t>$400–500 / mes; Trader Joe's es la más barata (SF Chronicle mar-2026)</t>
        </is>
      </c>
      <c r="C16" s="31" t="inlineStr">
        <is>
          <t>Ahorro desayuno $5 y cena $20.</t>
        </is>
      </c>
      <c r="D16" s="31" t="inlineStr">
        <is>
          <t>https://www.sfchronicle.com/projects/2026/cheapest-sf-grocery-prices-tariffs/</t>
        </is>
      </c>
    </row>
    <row r="17">
      <c r="A17" s="31" t="inlineStr">
        <is>
          <t>Muni (bus, metro, cable car)</t>
        </is>
      </c>
      <c r="B17" s="31" t="inlineStr">
        <is>
          <t>$2,85 por viaje (120 min); pass mensual M $86; pass A (Muni + BART dentro de SF) $104</t>
        </is>
      </c>
      <c r="C17" s="31" t="inlineStr">
        <is>
          <t>Realista transporte $15/día (pass A + Ubers). Ahorro $6/día.</t>
        </is>
      </c>
      <c r="D17" s="31" t="inlineStr">
        <is>
          <t>https://www.sfmta.com/getting-around/muni/fares</t>
        </is>
      </c>
    </row>
    <row r="18">
      <c r="A18" s="31" t="inlineStr">
        <is>
          <t>BART SFO ↔ downtown</t>
        </is>
      </c>
      <c r="B18" s="31" t="inlineStr">
        <is>
          <t>$11,15 una vía</t>
        </is>
      </c>
      <c r="C18" s="31" t="inlineStr">
        <is>
          <t>Traslado de salida (y llegada en Ahorro).</t>
        </is>
      </c>
      <c r="D18" s="31" t="inlineStr">
        <is>
          <t>https://www.bart.gov/tickets</t>
        </is>
      </c>
    </row>
    <row r="19">
      <c r="A19" s="31" t="inlineStr">
        <is>
          <t>UberX SFO → downtown</t>
        </is>
      </c>
      <c r="B19" s="31" t="inlineStr">
        <is>
          <t>$35–55 normal; $65–90 con surge; +$5,50 airport surcharge</t>
        </is>
      </c>
      <c r="C19" s="31" t="inlineStr">
        <is>
          <t>Traslado de llegada Realista $45 (con maletas, check-in 3PM).</t>
        </is>
      </c>
      <c r="D19" s="31" t="inlineStr">
        <is>
          <t>https://getridewise.com/airports/sfo</t>
        </is>
      </c>
    </row>
    <row r="20">
      <c r="A20" s="31" t="inlineStr">
        <is>
          <t>Uber intra-ciudad</t>
        </is>
      </c>
      <c r="B20" s="31" t="inlineStr">
        <is>
          <t>$20–50 por trayecto en hora pico</t>
        </is>
      </c>
      <c r="C20" s="31" t="inlineStr">
        <is>
          <t>3–4 viajes/semana × ~$25 en Realista.</t>
        </is>
      </c>
      <c r="D20" s="31" t="inlineStr">
        <is>
          <t>https://www.citizendailypost.com/faq/how-much-does-it-cost-to-get-around-in-san-francisco</t>
        </is>
      </c>
    </row>
    <row r="21">
      <c r="A21" s="31" t="inlineStr">
        <is>
          <t>eSIM / datos</t>
        </is>
      </c>
      <c r="B21" s="31" t="inlineStr">
        <is>
          <t>T-Mobile US Pass $50/30 días (ilimitado, activar en EE.UU.); $25/7 días. Airalo 50 GB/30 días $42</t>
        </is>
      </c>
      <c r="C21" s="31" t="inlineStr">
        <is>
          <t>Realista $75 (30 + 7 días). Ahorro $57.</t>
        </is>
      </c>
      <c r="D21" s="31" t="inlineStr">
        <is>
          <t>https://www.airalo.com/united-states-esim</t>
        </is>
      </c>
    </row>
    <row r="22">
      <c r="A22" s="31" t="inlineStr">
        <is>
          <t>Lavandería wash &amp; fold</t>
        </is>
      </c>
      <c r="B22" s="31" t="inlineStr">
        <is>
          <t>$2,39 – $2,50 / lb; mínimo $15–25</t>
        </is>
      </c>
      <c r="C22" s="31" t="inlineStr">
        <is>
          <t>Varios $20 (el listing tiene lavadora).</t>
        </is>
      </c>
      <c r="D22" s="31" t="inlineStr">
        <is>
          <t>https://thelaundryhubsf.com/laundry-pricing-san-francisco</t>
        </is>
      </c>
    </row>
    <row r="23">
      <c r="A23" s="31" t="inlineStr">
        <is>
          <t>Coworking day pass (si lo necesitas)</t>
        </is>
      </c>
      <c r="B23" s="31" t="inlineStr">
        <is>
          <t>$14 – $75 / día (Mindspace $42)</t>
        </is>
      </c>
      <c r="C23" s="31" t="inlineStr">
        <is>
          <t>No incluido: no es categoría de la política; pedir aprobación previa.</t>
        </is>
      </c>
      <c r="D23" s="31" t="inlineStr">
        <is>
          <t>https://wezoo.com/insights/coworking-day-pass</t>
        </is>
      </c>
    </row>
    <row r="24">
      <c r="A24" s="31" t="inlineStr">
        <is>
          <t>Costo de vida general SF</t>
        </is>
      </c>
      <c r="B24" s="31" t="inlineStr">
        <is>
          <t>Comida 30,5% sobre promedio EE.UU. ($522/mes individual)</t>
        </is>
      </c>
      <c r="C24" s="31" t="inlineStr">
        <is>
          <t>Contexto.</t>
        </is>
      </c>
      <c r="D24" s="31" t="inlineStr">
        <is>
          <t>https://www.salary.com/research/cost-of-living/san-francisco-ca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1" max="1"/>
    <col width="16" customWidth="1" min="2" max="2"/>
    <col width="20" customWidth="1" min="3" max="3"/>
    <col width="20" customWidth="1" min="4" max="4"/>
    <col width="20" customWidth="1" min="5" max="5"/>
    <col width="16" customWidth="1" min="6" max="6"/>
    <col width="20" customWidth="1" min="7" max="7"/>
    <col width="80" customWidth="1" min="8" max="8"/>
  </cols>
  <sheetData>
    <row r="1">
      <c r="A1" s="1" t="inlineStr">
        <is>
          <t>Política Yuno vs GSA vs mercado real de San Francisco (por día / por noche)</t>
        </is>
      </c>
    </row>
    <row r="2">
      <c r="A2" s="2" t="inlineStr">
        <is>
          <t>Positivo en 'Margen' = el tope de Yuno alcanza. Negativo = el mercado supera el tope.</t>
        </is>
      </c>
    </row>
    <row r="4">
      <c r="A4" s="9" t="inlineStr">
        <is>
          <t>Categoría</t>
        </is>
      </c>
      <c r="B4" s="9" t="inlineStr">
        <is>
          <t>Tope Yuno SF</t>
        </is>
      </c>
      <c r="C4" s="9" t="inlineStr">
        <is>
          <t>GSA FY2026 (benchmark)</t>
        </is>
      </c>
      <c r="D4" s="9" t="inlineStr">
        <is>
          <t>Mercado SF: rango bajo</t>
        </is>
      </c>
      <c r="E4" s="9" t="inlineStr">
        <is>
          <t>Mercado SF: rango alto</t>
        </is>
      </c>
      <c r="F4" s="9" t="inlineStr">
        <is>
          <t>Realista usado</t>
        </is>
      </c>
      <c r="G4" s="9" t="inlineStr">
        <is>
          <t>Margen tope vs realista</t>
        </is>
      </c>
      <c r="H4" s="9" t="inlineStr">
        <is>
          <t>Comentario</t>
        </is>
      </c>
    </row>
    <row r="5">
      <c r="A5" s="31" t="inlineStr">
        <is>
          <t>Alojamiento por noche (tu parte, sin impuestos)</t>
        </is>
      </c>
      <c r="B5" s="32" t="n">
        <v>220</v>
      </c>
      <c r="C5" s="32" t="n">
        <v>272</v>
      </c>
      <c r="D5" s="32" t="n">
        <v>60.5</v>
      </c>
      <c r="E5" s="32" t="n">
        <v>186</v>
      </c>
      <c r="F5" s="32">
        <f>Supuestos!C9</f>
        <v/>
      </c>
      <c r="G5" s="32">
        <f>B5-F5</f>
        <v/>
      </c>
      <c r="H5" s="31" t="inlineStr">
        <is>
          <t>Compartiendo 2BR quedas a ~30% del tope. Solo (entire place mediana $186) también cabe; hotel 3* fin de semana ($332) no.</t>
        </is>
      </c>
    </row>
    <row r="6">
      <c r="A6" s="31" t="inlineStr">
        <is>
          <t>Desayuno</t>
        </is>
      </c>
      <c r="B6" s="32" t="n">
        <v>15</v>
      </c>
      <c r="C6" s="32" t="n">
        <v>20</v>
      </c>
      <c r="D6" s="32" t="n">
        <v>8</v>
      </c>
      <c r="E6" s="32" t="n">
        <v>15</v>
      </c>
      <c r="F6" s="32">
        <f>Supuestos!C11</f>
        <v/>
      </c>
      <c r="G6" s="32">
        <f>B6-F6</f>
        <v/>
      </c>
      <c r="H6" s="31" t="inlineStr">
        <is>
          <t>Cabe. Café + pastry con tip ronda $12. GSA reparte $92 M&amp;IE aprox. 20/25/40 + incidentales.</t>
        </is>
      </c>
    </row>
    <row r="7">
      <c r="A7" s="31" t="inlineStr">
        <is>
          <t>Almuerzo</t>
        </is>
      </c>
      <c r="B7" s="32" t="n">
        <v>25</v>
      </c>
      <c r="C7" s="32" t="n">
        <v>25</v>
      </c>
      <c r="D7" s="32" t="n">
        <v>20</v>
      </c>
      <c r="E7" s="32" t="n">
        <v>33</v>
      </c>
      <c r="F7" s="32">
        <f>Supuestos!C12</f>
        <v/>
      </c>
      <c r="G7" s="32">
        <f>B7-F7</f>
        <v/>
      </c>
      <c r="H7" s="31" t="inlineStr">
        <is>
          <t>Justo. Con tax + mandate + tip un plato de $25 en menú sale ~$33. Apuntar a ≤$19 en menú.</t>
        </is>
      </c>
    </row>
    <row r="8">
      <c r="A8" s="31" t="inlineStr">
        <is>
          <t>Cena</t>
        </is>
      </c>
      <c r="B8" s="32" t="n">
        <v>50</v>
      </c>
      <c r="C8" s="32" t="n">
        <v>42</v>
      </c>
      <c r="D8" s="32" t="n">
        <v>35</v>
      </c>
      <c r="E8" s="32" t="n">
        <v>55</v>
      </c>
      <c r="F8" s="32">
        <f>Supuestos!C13</f>
        <v/>
      </c>
      <c r="G8" s="32">
        <f>B8-F8</f>
        <v/>
      </c>
      <c r="H8" s="31" t="inlineStr">
        <is>
          <t>Cabe en mid-range. Una cena con entrada + plato + bebida en SoMa/Mission supera $50.</t>
        </is>
      </c>
    </row>
    <row r="9">
      <c r="A9" s="31" t="inlineStr">
        <is>
          <t>Transporte por día</t>
        </is>
      </c>
      <c r="B9" s="32" t="n">
        <v>55</v>
      </c>
      <c r="C9" s="32" t="n">
        <v>5</v>
      </c>
      <c r="D9" s="32" t="n">
        <v>6</v>
      </c>
      <c r="E9" s="32" t="n">
        <v>30</v>
      </c>
      <c r="F9" s="32">
        <f>Supuestos!C14</f>
        <v/>
      </c>
      <c r="G9" s="32">
        <f>B9-F9</f>
        <v/>
      </c>
      <c r="H9" s="31" t="inlineStr">
        <is>
          <t>Muy holgado. GSA da $5 de incidentales; aquí Muni pass + Uber ocasional ~$15.</t>
        </is>
      </c>
    </row>
    <row r="10">
      <c r="A10" s="33" t="inlineStr">
        <is>
          <t>Total por día (alojamiento + comidas + transporte)</t>
        </is>
      </c>
      <c r="B10" s="34">
        <f>SUM(B5:B9)</f>
        <v/>
      </c>
      <c r="C10" s="34">
        <f>SUM(C5:C9)</f>
        <v/>
      </c>
      <c r="D10" s="34">
        <f>SUM(D5:D9)</f>
        <v/>
      </c>
      <c r="E10" s="34">
        <f>SUM(E5:E9)</f>
        <v/>
      </c>
      <c r="F10" s="34">
        <f>SUM(F5:F9)</f>
        <v/>
      </c>
      <c r="G10" s="34">
        <f>B10-F10</f>
        <v/>
      </c>
      <c r="H10" s="33" t="inlineStr">
        <is>
          <t>Tope Yuno $365/día vs GSA $364/día: alineados. Tu gasto realista ronda $160/día con el Airbnb compartido.</t>
        </is>
      </c>
    </row>
    <row r="13">
      <c r="A13" s="14" t="inlineStr">
        <is>
          <t>Totales del viaje por escenario (38 días, 27 noches Airbnb + 10 en casa de Joaquín)</t>
        </is>
      </c>
    </row>
    <row r="14">
      <c r="A14" s="9" t="inlineStr">
        <is>
          <t>Escenario</t>
        </is>
      </c>
      <c r="B14" s="9" t="inlineStr">
        <is>
          <t>Total viaje (con vuelo)</t>
        </is>
      </c>
      <c r="C14" s="9" t="inlineStr">
        <is>
          <t>Total sin vuelo</t>
        </is>
      </c>
      <c r="D14" s="9" t="inlineStr">
        <is>
          <t>Promedio por día sin vuelo</t>
        </is>
      </c>
      <c r="E14" s="9" t="inlineStr">
        <is>
          <t>vs tope de política</t>
        </is>
      </c>
    </row>
    <row r="15">
      <c r="A15" s="10" t="inlineStr">
        <is>
          <t>Política (tope máximo)</t>
        </is>
      </c>
      <c r="B15" s="11">
        <f>Resumen!B26</f>
        <v/>
      </c>
      <c r="C15" s="11">
        <f>Resumen!B27</f>
        <v/>
      </c>
      <c r="D15" s="11">
        <f>Resumen!B28</f>
        <v/>
      </c>
      <c r="E15" s="11">
        <f>Resumen!B26-B15</f>
        <v/>
      </c>
    </row>
    <row r="16">
      <c r="A16" s="10" t="inlineStr">
        <is>
          <t>Realista (mercado SF)</t>
        </is>
      </c>
      <c r="B16" s="11">
        <f>Resumen!C26</f>
        <v/>
      </c>
      <c r="C16" s="11">
        <f>Resumen!C27</f>
        <v/>
      </c>
      <c r="D16" s="11">
        <f>Resumen!C28</f>
        <v/>
      </c>
      <c r="E16" s="11">
        <f>Resumen!B26-B16</f>
        <v/>
      </c>
    </row>
    <row r="17">
      <c r="A17" s="10" t="inlineStr">
        <is>
          <t>Ahorro</t>
        </is>
      </c>
      <c r="B17" s="11">
        <f>Resumen!D26</f>
        <v/>
      </c>
      <c r="C17" s="11">
        <f>Resumen!D27</f>
        <v/>
      </c>
      <c r="D17" s="11">
        <f>Resumen!D28</f>
        <v/>
      </c>
      <c r="E17" s="11">
        <f>Resumen!B26-B17</f>
        <v/>
      </c>
    </row>
  </sheetData>
  <conditionalFormatting sqref="G5:G10">
    <cfRule type="cellIs" priority="1" operator="lessThan" dxfId="0">
      <formula>0</formula>
    </cfRule>
    <cfRule type="cellIs" priority="2" operator="greaterThanOrEqual"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2026-09-22T13:59:34Z</dcterms:created>
  <dcterms:modified xmlns:dcterms="http://purl.org/dc/terms/" xmlns:xsi="http://www.w3.org/2001/XMLSchema-instance" xsi:type="dcterms:W3CDTF">2026-09-22T13:59:34Z</dcterms:modified>
</cp:coreProperties>
</file>