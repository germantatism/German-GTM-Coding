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Resumen" sheetId="2" state="visible" r:id="rId2"/>
    <sheet name="1. Export" sheetId="3" state="visible" r:id="rId3"/>
    <sheet name="2. Volumen" sheetId="4" state="visible" r:id="rId4"/>
    <sheet name="3. Mix de medios" sheetId="5" state="visible" r:id="rId5"/>
    <sheet name="4. Aprobación" sheetId="6" state="visible" r:id="rId6"/>
    <sheet name="5. Rechazos" sheetId="7" state="visible" r:id="rId7"/>
    <sheet name="6. PSE y efectivo" sheetId="8" state="visible" r:id="rId8"/>
    <sheet name="7. Incidentes" sheetId="9" state="visible" r:id="rId9"/>
    <sheet name="8. Devoluciones" sheetId="10" state="visible" r:id="rId10"/>
    <sheet name="9. Costos" sheetId="11" state="visible" r:id="rId11"/>
    <sheet name="10. Conciliación" sheetId="12" state="visible" r:id="rId12"/>
    <sheet name="11. Checkout" sheetId="13" state="visible" r:id="rId13"/>
    <sheet name="12. Nuevos medios" sheetId="14" state="visible" r:id="rId14"/>
  </sheets>
  <definedNames>
    <definedName name="_xlnm._FilterDatabase" localSheetId="1" hidden="1">'Resumen'!$A$6:$J$96</definedName>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13">
    <font>
      <name val="Calibri"/>
      <family val="2"/>
      <color theme="1"/>
      <sz val="11"/>
      <scheme val="minor"/>
    </font>
    <font>
      <name val="Arial"/>
      <b val="1"/>
      <color rgb="00FFFFFF"/>
      <sz val="18"/>
    </font>
    <font>
      <name val="Arial"/>
      <color rgb="00616366"/>
      <sz val="10"/>
    </font>
    <font>
      <name val="Arial"/>
      <b val="1"/>
      <color rgb="00282A30"/>
      <sz val="10"/>
    </font>
    <font>
      <name val="Arial"/>
      <color rgb="00282A30"/>
      <sz val="10"/>
    </font>
    <font>
      <name val="Arial"/>
      <b val="1"/>
      <color rgb="00282A30"/>
      <sz val="11"/>
    </font>
    <font>
      <name val="Arial"/>
      <i val="1"/>
      <color rgb="00616366"/>
      <sz val="10"/>
    </font>
    <font>
      <name val="Arial"/>
      <b val="1"/>
      <color rgb="00FFFFFF"/>
      <sz val="16"/>
    </font>
    <font>
      <name val="Arial"/>
      <i val="1"/>
      <color rgb="00616366"/>
      <sz val="9"/>
    </font>
    <font>
      <name val="Arial"/>
      <b val="1"/>
      <color rgb="00FFFFFF"/>
      <sz val="10"/>
    </font>
    <font>
      <name val="Arial"/>
      <color rgb="00616366"/>
      <sz val="9"/>
    </font>
    <font>
      <name val="Arial"/>
      <i val="1"/>
      <color rgb="00282A30"/>
      <sz val="10"/>
    </font>
    <font>
      <name val="Arial"/>
      <color rgb="003E4FE0"/>
      <sz val="10"/>
    </font>
  </fonts>
  <fills count="8">
    <fill>
      <patternFill/>
    </fill>
    <fill>
      <patternFill patternType="gray125"/>
    </fill>
    <fill>
      <patternFill patternType="solid">
        <fgColor rgb="003E4FE0"/>
        <bgColor rgb="003E4FE0"/>
      </patternFill>
    </fill>
    <fill>
      <patternFill patternType="solid">
        <fgColor rgb="00E8EAF5"/>
        <bgColor rgb="00E8EAF5"/>
      </patternFill>
    </fill>
    <fill>
      <patternFill patternType="solid">
        <fgColor rgb="00FFFFFF"/>
        <bgColor rgb="00FFFFFF"/>
      </patternFill>
    </fill>
    <fill>
      <patternFill patternType="solid">
        <fgColor rgb="00FFF4CC"/>
        <bgColor rgb="00FFF4CC"/>
      </patternFill>
    </fill>
    <fill>
      <patternFill patternType="solid">
        <fgColor rgb="00F3F4FA"/>
        <bgColor rgb="00F3F4FA"/>
      </patternFill>
    </fill>
    <fill>
      <patternFill patternType="solid">
        <fgColor rgb="00EDEDED"/>
        <bgColor rgb="00EDEDED"/>
      </patternFill>
    </fill>
  </fills>
  <borders count="2">
    <border>
      <left/>
      <right/>
      <top/>
      <bottom/>
      <diagonal/>
    </border>
    <border>
      <left style="thin">
        <color rgb="00D5D8E6"/>
      </left>
      <right style="thin">
        <color rgb="00D5D8E6"/>
      </right>
      <top style="thin">
        <color rgb="00D5D8E6"/>
      </top>
      <bottom style="thin">
        <color rgb="00D5D8E6"/>
      </bottom>
    </border>
  </borders>
  <cellStyleXfs count="1">
    <xf numFmtId="0" fontId="0" fillId="0" borderId="0"/>
  </cellStyleXfs>
  <cellXfs count="54">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3" borderId="0" applyAlignment="1" pivotButton="0" quotePrefix="0" xfId="0">
      <alignment vertical="center" indent="1"/>
    </xf>
    <xf numFmtId="0" fontId="0" fillId="3" borderId="0" pivotButton="0" quotePrefix="0" xfId="0"/>
    <xf numFmtId="0" fontId="3" fillId="4" borderId="1" applyAlignment="1" pivotButton="0" quotePrefix="0" xfId="0">
      <alignment vertical="top" wrapText="1" indent="1"/>
    </xf>
    <xf numFmtId="0" fontId="4" fillId="0" borderId="1" applyAlignment="1" pivotButton="0" quotePrefix="0" xfId="0">
      <alignment vertical="top" wrapText="1"/>
    </xf>
    <xf numFmtId="0" fontId="5" fillId="3" borderId="0" applyAlignment="1" pivotButton="0" quotePrefix="0" xfId="0">
      <alignment vertical="center" indent="1"/>
    </xf>
    <xf numFmtId="0" fontId="3" fillId="5" borderId="1" applyAlignment="1" pivotButton="0" quotePrefix="0" xfId="0">
      <alignment vertical="top" wrapText="1" indent="1"/>
    </xf>
    <xf numFmtId="0" fontId="3" fillId="6" borderId="1" applyAlignment="1" pivotButton="0" quotePrefix="0" xfId="0">
      <alignment vertical="top" wrapText="1" indent="1"/>
    </xf>
    <xf numFmtId="0" fontId="3" fillId="7" borderId="1" applyAlignment="1" pivotButton="0" quotePrefix="0" xfId="0">
      <alignment vertical="top" wrapText="1" indent="1"/>
    </xf>
    <xf numFmtId="0" fontId="6" fillId="0" borderId="1" applyAlignment="1" pivotButton="0" quotePrefix="0" xfId="0">
      <alignment vertical="top" wrapText="1"/>
    </xf>
    <xf numFmtId="0" fontId="7" fillId="2" borderId="0" applyAlignment="1" pivotButton="0" quotePrefix="0" xfId="0">
      <alignment vertical="center" indent="1"/>
    </xf>
    <xf numFmtId="0" fontId="3" fillId="6" borderId="0" applyAlignment="1" pivotButton="0" quotePrefix="0" xfId="0">
      <alignment vertical="center" indent="1"/>
    </xf>
    <xf numFmtId="0" fontId="0" fillId="6" borderId="0" pivotButton="0" quotePrefix="0" xfId="0"/>
    <xf numFmtId="0" fontId="9" fillId="2" borderId="1" applyAlignment="1" pivotButton="0" quotePrefix="0" xfId="0">
      <alignment horizontal="center" vertical="center" wrapText="1"/>
    </xf>
    <xf numFmtId="0" fontId="10" fillId="4" borderId="1" applyAlignment="1" pivotButton="0" quotePrefix="0" xfId="0">
      <alignment horizontal="center" vertical="top" wrapText="1"/>
    </xf>
    <xf numFmtId="0" fontId="12" fillId="4" borderId="1" applyAlignment="1" pivotButton="0" quotePrefix="0" xfId="0">
      <alignment horizontal="left" vertical="top" wrapText="1"/>
    </xf>
    <xf numFmtId="0" fontId="4" fillId="4" borderId="1" applyAlignment="1" pivotButton="0" quotePrefix="0" xfId="0">
      <alignment horizontal="left" vertical="top" wrapText="1"/>
    </xf>
    <xf numFmtId="0" fontId="3" fillId="4" borderId="1" applyAlignment="1" pivotButton="0" quotePrefix="0" xfId="0">
      <alignment horizontal="center" vertical="top" wrapText="1"/>
    </xf>
    <xf numFmtId="0" fontId="4" fillId="4" borderId="1" applyAlignment="1" pivotButton="0" quotePrefix="0" xfId="0">
      <alignment horizontal="center" vertical="top" wrapText="1"/>
    </xf>
    <xf numFmtId="0" fontId="8" fillId="4" borderId="1" applyAlignment="1" pivotButton="0" quotePrefix="0" xfId="0">
      <alignment horizontal="left" vertical="top"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2" fillId="3" borderId="0" applyAlignment="1" pivotButton="0" quotePrefix="0" xfId="0">
      <alignment vertical="center" wrapText="1" indent="1"/>
    </xf>
    <xf numFmtId="0" fontId="8" fillId="0" borderId="0" applyAlignment="1" pivotButton="0" quotePrefix="0" xfId="0">
      <alignment vertical="top" wrapText="1" inden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xf numFmtId="0" fontId="6" fillId="4" borderId="1" applyAlignment="1" pivotButton="0" quotePrefix="0" xfId="0">
      <alignment horizontal="left" vertical="top" wrapText="1"/>
    </xf>
    <xf numFmtId="0" fontId="8" fillId="0" borderId="0" applyAlignment="1" pivotButton="0" quotePrefix="0" xfId="0">
      <alignment horizontal="center" vertical="top"/>
    </xf>
    <xf numFmtId="0" fontId="6" fillId="7" borderId="1" applyAlignment="1" pivotButton="0" quotePrefix="0" xfId="0">
      <alignment horizontal="left" vertical="top" wrapText="1"/>
    </xf>
    <xf numFmtId="164" fontId="6" fillId="7" borderId="1" applyAlignment="1" pivotButton="0" quotePrefix="0" xfId="0">
      <alignment horizontal="right" vertical="top" wrapText="1"/>
    </xf>
    <xf numFmtId="165" fontId="6" fillId="7" borderId="1" applyAlignment="1" pivotButton="0" quotePrefix="0" xfId="0">
      <alignment horizontal="right" vertical="top" wrapText="1"/>
    </xf>
    <xf numFmtId="164" fontId="4" fillId="5" borderId="1" applyAlignment="1" pivotButton="0" quotePrefix="0" xfId="0">
      <alignment horizontal="right" vertical="top" wrapText="1"/>
    </xf>
    <xf numFmtId="165" fontId="4" fillId="6" borderId="1" applyAlignment="1" pivotButton="0" quotePrefix="0" xfId="0">
      <alignment horizontal="right" vertical="top" wrapText="1"/>
    </xf>
    <xf numFmtId="164" fontId="4" fillId="6" borderId="1" applyAlignment="1" pivotButton="0" quotePrefix="0" xfId="0">
      <alignment horizontal="right" vertical="top" wrapText="1"/>
    </xf>
    <xf numFmtId="0" fontId="3" fillId="6" borderId="1" applyAlignment="1" pivotButton="0" quotePrefix="0" xfId="0">
      <alignment horizontal="left" vertical="top" wrapText="1"/>
    </xf>
    <xf numFmtId="164" fontId="3" fillId="6" borderId="1" applyAlignment="1" pivotButton="0" quotePrefix="0" xfId="0">
      <alignment horizontal="right" vertical="top" wrapText="1"/>
    </xf>
    <xf numFmtId="165" fontId="3" fillId="6" borderId="1" applyAlignment="1" pivotButton="0" quotePrefix="0" xfId="0">
      <alignment horizontal="right" vertical="top" wrapText="1"/>
    </xf>
    <xf numFmtId="0" fontId="0" fillId="2" borderId="1" pivotButton="0" quotePrefix="0" xfId="0"/>
    <xf numFmtId="0" fontId="0" fillId="7" borderId="1" pivotButton="0" quotePrefix="0" xfId="0"/>
    <xf numFmtId="0" fontId="0" fillId="5" borderId="1" pivotButton="0" quotePrefix="0" xfId="0"/>
    <xf numFmtId="0" fontId="0" fillId="6" borderId="1" pivotButton="0" quotePrefix="0" xfId="0"/>
    <xf numFmtId="0" fontId="10" fillId="4" borderId="1" applyAlignment="1" pivotButton="0" quotePrefix="0" xfId="0">
      <alignment horizontal="center" vertical="top"/>
    </xf>
    <xf numFmtId="0" fontId="4" fillId="4" borderId="1" applyAlignment="1" pivotButton="0" quotePrefix="0" xfId="0">
      <alignment vertical="top" wrapText="1"/>
    </xf>
    <xf numFmtId="0" fontId="4" fillId="5" borderId="1" applyAlignment="1" pivotButton="0" quotePrefix="0" xfId="0">
      <alignment vertical="top" wrapText="1"/>
    </xf>
    <xf numFmtId="0" fontId="3" fillId="4" borderId="1" applyAlignment="1" pivotButton="0" quotePrefix="0" xfId="0">
      <alignment horizontal="center" vertical="top"/>
    </xf>
    <xf numFmtId="0" fontId="8" fillId="4" borderId="1" applyAlignment="1" pivotButton="0" quotePrefix="0" xfId="0">
      <alignment vertical="top" wrapText="1"/>
    </xf>
    <xf numFmtId="0" fontId="0" fillId="4" borderId="1" pivotButton="0" quotePrefix="0" xfId="0"/>
    <xf numFmtId="0" fontId="11" fillId="6" borderId="1" applyAlignment="1" pivotButton="0" quotePrefix="0" xfId="0">
      <alignment horizontal="left" vertical="top" wrapText="1"/>
    </xf>
    <xf numFmtId="0" fontId="4" fillId="6" borderId="1" applyAlignment="1" pivotButton="0" quotePrefix="0" xfId="0">
      <alignment horizontal="left" vertical="top" wrapText="1"/>
    </xf>
    <xf numFmtId="0" fontId="10" fillId="4" borderId="1" applyAlignment="1" pivotButton="0" quotePrefix="0" xfId="0">
      <alignment horizontal="left" vertical="top" wrapText="1"/>
    </xf>
    <xf numFmtId="0" fontId="10" fillId="4" borderId="1" pivotButton="0" quotePrefix="0" xfId="0"/>
    <xf numFmtId="165" fontId="4" fillId="5"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1. Export'!A1" TargetMode="External" Id="rId1" /><Relationship Type="http://schemas.openxmlformats.org/officeDocument/2006/relationships/hyperlink" Target="#'2. Volumen'!A1" TargetMode="External" Id="rId2" /><Relationship Type="http://schemas.openxmlformats.org/officeDocument/2006/relationships/hyperlink" Target="#'2. Volumen'!A1" TargetMode="External" Id="rId3" /><Relationship Type="http://schemas.openxmlformats.org/officeDocument/2006/relationships/hyperlink" Target="#'2. Volumen'!A1" TargetMode="External" Id="rId4" /><Relationship Type="http://schemas.openxmlformats.org/officeDocument/2006/relationships/hyperlink" Target="#'2. Volumen'!A1" TargetMode="External" Id="rId5" /><Relationship Type="http://schemas.openxmlformats.org/officeDocument/2006/relationships/hyperlink" Target="#'2. Volumen'!A1" TargetMode="External" Id="rId6" /><Relationship Type="http://schemas.openxmlformats.org/officeDocument/2006/relationships/hyperlink" Target="#'2. Volumen'!A1" TargetMode="External" Id="rId7" /><Relationship Type="http://schemas.openxmlformats.org/officeDocument/2006/relationships/hyperlink" Target="#'2. Volumen'!A1" TargetMode="External" Id="rId8" /><Relationship Type="http://schemas.openxmlformats.org/officeDocument/2006/relationships/hyperlink" Target="#'2. Volumen'!A1" TargetMode="External" Id="rId9" /><Relationship Type="http://schemas.openxmlformats.org/officeDocument/2006/relationships/hyperlink" Target="#'2. Volumen'!A1" TargetMode="External" Id="rId10" /><Relationship Type="http://schemas.openxmlformats.org/officeDocument/2006/relationships/hyperlink" Target="#'2. Volumen'!A1" TargetMode="External" Id="rId11" /><Relationship Type="http://schemas.openxmlformats.org/officeDocument/2006/relationships/hyperlink" Target="#'3. Mix de medios'!A1" TargetMode="External" Id="rId12" /><Relationship Type="http://schemas.openxmlformats.org/officeDocument/2006/relationships/hyperlink" Target="#'3. Mix de medios'!A1" TargetMode="External" Id="rId13" /><Relationship Type="http://schemas.openxmlformats.org/officeDocument/2006/relationships/hyperlink" Target="#'3. Mix de medios'!A1" TargetMode="External" Id="rId14" /><Relationship Type="http://schemas.openxmlformats.org/officeDocument/2006/relationships/hyperlink" Target="#'3. Mix de medios'!A1" TargetMode="External" Id="rId15" /><Relationship Type="http://schemas.openxmlformats.org/officeDocument/2006/relationships/hyperlink" Target="#'3. Mix de medios'!A1" TargetMode="External" Id="rId16" /><Relationship Type="http://schemas.openxmlformats.org/officeDocument/2006/relationships/hyperlink" Target="#'4. Aprobaci&#243;n'!A1" TargetMode="External" Id="rId17" /><Relationship Type="http://schemas.openxmlformats.org/officeDocument/2006/relationships/hyperlink" Target="#'4. Aprobaci&#243;n'!A1" TargetMode="External" Id="rId18" /><Relationship Type="http://schemas.openxmlformats.org/officeDocument/2006/relationships/hyperlink" Target="#'4. Aprobaci&#243;n'!A1" TargetMode="External" Id="rId19" /><Relationship Type="http://schemas.openxmlformats.org/officeDocument/2006/relationships/hyperlink" Target="#'4. Aprobaci&#243;n'!A1" TargetMode="External" Id="rId20" /><Relationship Type="http://schemas.openxmlformats.org/officeDocument/2006/relationships/hyperlink" Target="#'4. Aprobaci&#243;n'!A1" TargetMode="External" Id="rId21" /><Relationship Type="http://schemas.openxmlformats.org/officeDocument/2006/relationships/hyperlink" Target="#'4. Aprobaci&#243;n'!A1" TargetMode="External" Id="rId22" /><Relationship Type="http://schemas.openxmlformats.org/officeDocument/2006/relationships/hyperlink" Target="#'4. Aprobaci&#243;n'!A1" TargetMode="External" Id="rId23" /><Relationship Type="http://schemas.openxmlformats.org/officeDocument/2006/relationships/hyperlink" Target="#'4. Aprobaci&#243;n'!A1" TargetMode="External" Id="rId24" /><Relationship Type="http://schemas.openxmlformats.org/officeDocument/2006/relationships/hyperlink" Target="#'5. Rechazos'!A1" TargetMode="External" Id="rId25" /><Relationship Type="http://schemas.openxmlformats.org/officeDocument/2006/relationships/hyperlink" Target="#'5. Rechazos'!A1" TargetMode="External" Id="rId26" /><Relationship Type="http://schemas.openxmlformats.org/officeDocument/2006/relationships/hyperlink" Target="#'5. Rechazos'!A1" TargetMode="External" Id="rId27" /><Relationship Type="http://schemas.openxmlformats.org/officeDocument/2006/relationships/hyperlink" Target="#'5. Rechazos'!A1" TargetMode="External" Id="rId28" /><Relationship Type="http://schemas.openxmlformats.org/officeDocument/2006/relationships/hyperlink" Target="#'5. Rechazos'!A1" TargetMode="External" Id="rId29" /><Relationship Type="http://schemas.openxmlformats.org/officeDocument/2006/relationships/hyperlink" Target="#'5. Rechazos'!A1" TargetMode="External" Id="rId30" /><Relationship Type="http://schemas.openxmlformats.org/officeDocument/2006/relationships/hyperlink" Target="#'5. Rechazos'!A1" TargetMode="External" Id="rId31" /><Relationship Type="http://schemas.openxmlformats.org/officeDocument/2006/relationships/hyperlink" Target="#'6. PSE y efectivo'!A1" TargetMode="External" Id="rId32" /><Relationship Type="http://schemas.openxmlformats.org/officeDocument/2006/relationships/hyperlink" Target="#'6. PSE y efectivo'!A1" TargetMode="External" Id="rId33" /><Relationship Type="http://schemas.openxmlformats.org/officeDocument/2006/relationships/hyperlink" Target="#'6. PSE y efectivo'!A1" TargetMode="External" Id="rId34" /><Relationship Type="http://schemas.openxmlformats.org/officeDocument/2006/relationships/hyperlink" Target="#'6. PSE y efectivo'!A1" TargetMode="External" Id="rId35" /><Relationship Type="http://schemas.openxmlformats.org/officeDocument/2006/relationships/hyperlink" Target="#'6. PSE y efectivo'!A1" TargetMode="External" Id="rId36" /><Relationship Type="http://schemas.openxmlformats.org/officeDocument/2006/relationships/hyperlink" Target="#'7. Incidentes'!A1" TargetMode="External" Id="rId37" /><Relationship Type="http://schemas.openxmlformats.org/officeDocument/2006/relationships/hyperlink" Target="#'7. Incidentes'!A1" TargetMode="External" Id="rId38" /><Relationship Type="http://schemas.openxmlformats.org/officeDocument/2006/relationships/hyperlink" Target="#'7. Incidentes'!A1" TargetMode="External" Id="rId39" /><Relationship Type="http://schemas.openxmlformats.org/officeDocument/2006/relationships/hyperlink" Target="#'7. Incidentes'!A1" TargetMode="External" Id="rId40" /><Relationship Type="http://schemas.openxmlformats.org/officeDocument/2006/relationships/hyperlink" Target="#'7. Incidentes'!A1" TargetMode="External" Id="rId41" /><Relationship Type="http://schemas.openxmlformats.org/officeDocument/2006/relationships/hyperlink" Target="#'7. Incidentes'!A1" TargetMode="External" Id="rId42" /><Relationship Type="http://schemas.openxmlformats.org/officeDocument/2006/relationships/hyperlink" Target="#'8. Devoluciones'!A1" TargetMode="External" Id="rId43" /><Relationship Type="http://schemas.openxmlformats.org/officeDocument/2006/relationships/hyperlink" Target="#'8. Devoluciones'!A1" TargetMode="External" Id="rId44" /><Relationship Type="http://schemas.openxmlformats.org/officeDocument/2006/relationships/hyperlink" Target="#'8. Devoluciones'!A1" TargetMode="External" Id="rId45" /><Relationship Type="http://schemas.openxmlformats.org/officeDocument/2006/relationships/hyperlink" Target="#'8. Devoluciones'!A1" TargetMode="External" Id="rId46" /><Relationship Type="http://schemas.openxmlformats.org/officeDocument/2006/relationships/hyperlink" Target="#'8. Devoluciones'!A1" TargetMode="External" Id="rId47" /><Relationship Type="http://schemas.openxmlformats.org/officeDocument/2006/relationships/hyperlink" Target="#'8. Devoluciones'!A1" TargetMode="External" Id="rId48" /><Relationship Type="http://schemas.openxmlformats.org/officeDocument/2006/relationships/hyperlink" Target="#'8. Devoluciones'!A1" TargetMode="External" Id="rId49" /><Relationship Type="http://schemas.openxmlformats.org/officeDocument/2006/relationships/hyperlink" Target="#'8. Devoluciones'!A1" TargetMode="External" Id="rId50" /><Relationship Type="http://schemas.openxmlformats.org/officeDocument/2006/relationships/hyperlink" Target="#'8. Devoluciones'!A1" TargetMode="External" Id="rId51" /><Relationship Type="http://schemas.openxmlformats.org/officeDocument/2006/relationships/hyperlink" Target="#'8. Devoluciones'!A1" TargetMode="External" Id="rId52" /><Relationship Type="http://schemas.openxmlformats.org/officeDocument/2006/relationships/hyperlink" Target="#'8. Devoluciones'!A1" TargetMode="External" Id="rId53" /><Relationship Type="http://schemas.openxmlformats.org/officeDocument/2006/relationships/hyperlink" Target="#'8. Devoluciones'!A1" TargetMode="External" Id="rId54" /><Relationship Type="http://schemas.openxmlformats.org/officeDocument/2006/relationships/hyperlink" Target="#'9. Costos'!A1" TargetMode="External" Id="rId55" /><Relationship Type="http://schemas.openxmlformats.org/officeDocument/2006/relationships/hyperlink" Target="#'9. Costos'!A1" TargetMode="External" Id="rId56" /><Relationship Type="http://schemas.openxmlformats.org/officeDocument/2006/relationships/hyperlink" Target="#'9. Costos'!A1" TargetMode="External" Id="rId57" /><Relationship Type="http://schemas.openxmlformats.org/officeDocument/2006/relationships/hyperlink" Target="#'9. Costos'!A1" TargetMode="External" Id="rId58" /><Relationship Type="http://schemas.openxmlformats.org/officeDocument/2006/relationships/hyperlink" Target="#'9. Costos'!A1" TargetMode="External" Id="rId59" /><Relationship Type="http://schemas.openxmlformats.org/officeDocument/2006/relationships/hyperlink" Target="#'9. Costos'!A1" TargetMode="External" Id="rId60" /><Relationship Type="http://schemas.openxmlformats.org/officeDocument/2006/relationships/hyperlink" Target="#'9. Costos'!A1" TargetMode="External" Id="rId61" /><Relationship Type="http://schemas.openxmlformats.org/officeDocument/2006/relationships/hyperlink" Target="#'9. Costos'!A1" TargetMode="External" Id="rId62" /><Relationship Type="http://schemas.openxmlformats.org/officeDocument/2006/relationships/hyperlink" Target="#'10. Conciliaci&#243;n'!A1" TargetMode="External" Id="rId63" /><Relationship Type="http://schemas.openxmlformats.org/officeDocument/2006/relationships/hyperlink" Target="#'10. Conciliaci&#243;n'!A1" TargetMode="External" Id="rId64" /><Relationship Type="http://schemas.openxmlformats.org/officeDocument/2006/relationships/hyperlink" Target="#'10. Conciliaci&#243;n'!A1" TargetMode="External" Id="rId65" /><Relationship Type="http://schemas.openxmlformats.org/officeDocument/2006/relationships/hyperlink" Target="#'10. Conciliaci&#243;n'!A1" TargetMode="External" Id="rId66" /><Relationship Type="http://schemas.openxmlformats.org/officeDocument/2006/relationships/hyperlink" Target="#'10. Conciliaci&#243;n'!A1" TargetMode="External" Id="rId67" /><Relationship Type="http://schemas.openxmlformats.org/officeDocument/2006/relationships/hyperlink" Target="#'10. Conciliaci&#243;n'!A1" TargetMode="External" Id="rId68" /><Relationship Type="http://schemas.openxmlformats.org/officeDocument/2006/relationships/hyperlink" Target="#'10. Conciliaci&#243;n'!A1" TargetMode="External" Id="rId69" /><Relationship Type="http://schemas.openxmlformats.org/officeDocument/2006/relationships/hyperlink" Target="#'10. Conciliaci&#243;n'!A1" TargetMode="External" Id="rId70" /><Relationship Type="http://schemas.openxmlformats.org/officeDocument/2006/relationships/hyperlink" Target="#'10. Conciliaci&#243;n'!A1" TargetMode="External" Id="rId71" /><Relationship Type="http://schemas.openxmlformats.org/officeDocument/2006/relationships/hyperlink" Target="#'10. Conciliaci&#243;n'!A1" TargetMode="External" Id="rId72" /><Relationship Type="http://schemas.openxmlformats.org/officeDocument/2006/relationships/hyperlink" Target="#'10. Conciliaci&#243;n'!A1" TargetMode="External" Id="rId73" /><Relationship Type="http://schemas.openxmlformats.org/officeDocument/2006/relationships/hyperlink" Target="#'10. Conciliaci&#243;n'!A1" TargetMode="External" Id="rId74" /><Relationship Type="http://schemas.openxmlformats.org/officeDocument/2006/relationships/hyperlink" Target="#'10. Conciliaci&#243;n'!A1" TargetMode="External" Id="rId75" /><Relationship Type="http://schemas.openxmlformats.org/officeDocument/2006/relationships/hyperlink" Target="#'11. Checkout'!A1" TargetMode="External" Id="rId76" /><Relationship Type="http://schemas.openxmlformats.org/officeDocument/2006/relationships/hyperlink" Target="#'11. Checkout'!A1" TargetMode="External" Id="rId77" /><Relationship Type="http://schemas.openxmlformats.org/officeDocument/2006/relationships/hyperlink" Target="#'11. Checkout'!A1" TargetMode="External" Id="rId78" /><Relationship Type="http://schemas.openxmlformats.org/officeDocument/2006/relationships/hyperlink" Target="#'11. Checkout'!A1" TargetMode="External" Id="rId79" /><Relationship Type="http://schemas.openxmlformats.org/officeDocument/2006/relationships/hyperlink" Target="#'11. Checkout'!A1" TargetMode="External" Id="rId80" /><Relationship Type="http://schemas.openxmlformats.org/officeDocument/2006/relationships/hyperlink" Target="#'11. Checkout'!A1" TargetMode="External" Id="rId81" /><Relationship Type="http://schemas.openxmlformats.org/officeDocument/2006/relationships/hyperlink" Target="#'11. Checkout'!A1" TargetMode="External" Id="rId82" /><Relationship Type="http://schemas.openxmlformats.org/officeDocument/2006/relationships/hyperlink" Target="#'11. Checkout'!A1" TargetMode="External" Id="rId83" /><Relationship Type="http://schemas.openxmlformats.org/officeDocument/2006/relationships/hyperlink" Target="#'12. Nuevos medios'!A1" TargetMode="External" Id="rId84" /><Relationship Type="http://schemas.openxmlformats.org/officeDocument/2006/relationships/hyperlink" Target="#'12. Nuevos medios'!A1" TargetMode="External" Id="rId85" /><Relationship Type="http://schemas.openxmlformats.org/officeDocument/2006/relationships/hyperlink" Target="#'12. Nuevos medios'!A1" TargetMode="External" Id="rId86" /><Relationship Type="http://schemas.openxmlformats.org/officeDocument/2006/relationships/hyperlink" Target="#'12. Nuevos medios'!A1" TargetMode="External" Id="rId87" /><Relationship Type="http://schemas.openxmlformats.org/officeDocument/2006/relationships/hyperlink" Target="#'12. Nuevos medios'!A1" TargetMode="External" Id="rId88" /><Relationship Type="http://schemas.openxmlformats.org/officeDocument/2006/relationships/hyperlink" Target="#'12. Nuevos medios'!A1" TargetMode="External" Id="rId89" /><Relationship Type="http://schemas.openxmlformats.org/officeDocument/2006/relationships/hyperlink" Target="#'12. Nuevos medios'!A1" TargetMode="External" Id="rId90" /></Relationships>
</file>

<file path=xl/worksheets/sheet1.xml><?xml version="1.0" encoding="utf-8"?>
<worksheet xmlns="http://schemas.openxmlformats.org/spreadsheetml/2006/main">
  <sheetPr>
    <tabColor rgb="00282A30"/>
    <outlinePr summaryBelow="1" summaryRight="1"/>
    <pageSetUpPr fitToPage="1"/>
  </sheetPr>
  <dimension ref="A1:B33"/>
  <sheetViews>
    <sheetView showGridLines="0" workbookViewId="0">
      <selection activeCell="A1" sqref="A1"/>
    </sheetView>
  </sheetViews>
  <sheetFormatPr baseColWidth="8" defaultRowHeight="15"/>
  <cols>
    <col width="30" customWidth="1" min="1" max="1"/>
    <col width="120" customWidth="1" min="2" max="2"/>
  </cols>
  <sheetData>
    <row r="1" ht="38" customHeight="1">
      <c r="A1" s="1" t="inlineStr">
        <is>
          <t>Cruz Verde + Yuno</t>
        </is>
      </c>
      <c r="B1" s="2" t="n"/>
    </row>
    <row r="2" ht="24" customHeight="1">
      <c r="A2" s="3" t="inlineStr">
        <is>
          <t>Solicitud de información para el business case. Versión 1, 29 de septiembre de 2026.</t>
        </is>
      </c>
      <c r="B2" s="4" t="n"/>
    </row>
    <row r="4" ht="47.4" customHeight="1">
      <c r="A4" s="5" t="inlineStr">
        <is>
          <t>Objetivo</t>
        </is>
      </c>
      <c r="B4" s="6" t="inlineStr">
        <is>
          <t>Construir el business case de Cruz Verde con las cifras reales de su operación de pagos y no con supuestos de mercado. Cada dato de este archivo alimenta una parte específica del caso: aprobación de pagos, nuevos medios de pago, costo transaccional, conciliación, devoluciones y continuidad del servicio.</t>
        </is>
      </c>
    </row>
    <row r="5" ht="75" customHeight="1">
      <c r="A5" s="5" t="inlineStr">
        <is>
          <t>Cómo compartir la información</t>
        </is>
      </c>
      <c r="B5" s="6" t="inlineStr">
        <is>
          <t>Hay dos caminos y se pueden combinar.
Opción A (recomendada): export transaccional. Si nos comparten el detalle por intento de pago descrito en la hoja "1. Export", nosotros calculamos la mayoría de las tablas de las hojas 2 a 8. Ustedes solo responden lo que en la hoja "Resumen" aparece con "No" o "Parcial" en la columna "Se calcula con el export".
Opción B: tablas resumen. Completar directamente las hojas 2 a 12 con cifras agregadas.</t>
        </is>
      </c>
    </row>
    <row r="6" ht="33.59999999999999" customHeight="1">
      <c r="A6" s="5" t="inlineStr">
        <is>
          <t>Período</t>
        </is>
      </c>
      <c r="B6" s="6" t="inlineStr">
        <is>
          <t>Últimos 12 meses cerrados: septiembre de 2025 a agosto de 2026. Si no es posible, un mínimo de 6 meses. Cuando una tabla pide un período distinto, lo indica en su descripción.</t>
        </is>
      </c>
    </row>
    <row r="7" ht="19.8" customHeight="1">
      <c r="A7" s="5" t="inlineStr">
        <is>
          <t>Moneda</t>
        </is>
      </c>
      <c r="B7" s="6" t="inlineStr">
        <is>
          <t>Todas las cifras en pesos colombianos (COP), sin decimales.</t>
        </is>
      </c>
    </row>
    <row r="8" ht="19.8" customHeight="1">
      <c r="A8" s="5" t="inlineStr">
        <is>
          <t>Alcance</t>
        </is>
      </c>
      <c r="B8" s="6" t="inlineStr">
        <is>
          <t>Canal digital de Cruz Verde Colombia: sitio web, app y links de pago. Las preguntas sobre tiendas físicas lo indican de forma explícita.</t>
        </is>
      </c>
    </row>
    <row r="9" ht="47.4" customHeight="1">
      <c r="A9" s="5" t="inlineStr">
        <is>
          <t>Prioridad</t>
        </is>
      </c>
      <c r="B9" s="6" t="inlineStr">
        <is>
          <t>A: imprescindible para el business case.
B: deseable, mejora la precisión del caso.
C: si está disponible.</t>
        </is>
      </c>
    </row>
    <row r="10" ht="33.59999999999999" customHeight="1">
      <c r="A10" s="5" t="inlineStr">
        <is>
          <t>Dato que tenemos hoy</t>
        </is>
      </c>
      <c r="B10" s="6" t="inlineStr">
        <is>
          <t>En varias solicitudes incluimos la cifra que nos compartieron en la llamada del 21 de mayo o en la reunión del 25 de septiembre. La idea es que la confirmen o la corrijan con el dato real.</t>
        </is>
      </c>
    </row>
    <row r="11" ht="33.59999999999999" customHeight="1">
      <c r="A11" s="5" t="inlineStr">
        <is>
          <t>Si un dato no existe</t>
        </is>
      </c>
      <c r="B11" s="6" t="inlineStr">
        <is>
          <t>Escribir "No disponible". En esos casos acordamos con ustedes un supuesto y lo dejamos declarado en el business case. Las cifras aproximadas también sirven: basta con indicar "aprox.".</t>
        </is>
      </c>
    </row>
    <row r="12" ht="33.59999999999999" customHeight="1">
      <c r="A12" s="5" t="inlineStr">
        <is>
          <t>Confidencialidad</t>
        </is>
      </c>
      <c r="B12" s="6" t="inlineStr">
        <is>
          <t>La información se comparte una vez esté firmado el acuerdo de confidencialidad, que está en trámite. No necesitamos datos personales de clientes ni números completos de tarjeta: los primeros 6 dígitos (BIN) son suficientes para identificar banco y marca.</t>
        </is>
      </c>
    </row>
    <row r="13" ht="19.8" customHeight="1">
      <c r="A13" s="5" t="inlineStr">
        <is>
          <t>Área sugerida</t>
        </is>
      </c>
      <c r="B13" s="6" t="inlineStr">
        <is>
          <t>Cada solicitud indica el área que probablemente tiene el dato (Ecommerce, Finanzas, TI). Es solo una guía.</t>
        </is>
      </c>
    </row>
    <row r="14" ht="19.8" customHeight="1">
      <c r="A14" s="5" t="inlineStr">
        <is>
          <t>Contacto en Yuno</t>
        </is>
      </c>
      <c r="B14" s="6" t="inlineStr">
        <is>
          <t>German Tatis, german.tatis@y.uno</t>
        </is>
      </c>
    </row>
    <row r="16" ht="24" customHeight="1">
      <c r="A16" s="7" t="inlineStr">
        <is>
          <t>Cómo leer las celdas</t>
        </is>
      </c>
      <c r="B16" s="4" t="n"/>
    </row>
    <row r="17" ht="19.8" customHeight="1">
      <c r="A17" s="8" t="inlineStr">
        <is>
          <t>Amarillo</t>
        </is>
      </c>
      <c r="B17" s="6" t="inlineStr">
        <is>
          <t>Celdas para completar por Cruz Verde.</t>
        </is>
      </c>
    </row>
    <row r="18" ht="19.8" customHeight="1">
      <c r="A18" s="9" t="inlineStr">
        <is>
          <t>Lila claro</t>
        </is>
      </c>
      <c r="B18" s="6" t="inlineStr">
        <is>
          <t>Celdas calculadas con fórmula. No hace falta modificarlas.</t>
        </is>
      </c>
    </row>
    <row r="19" ht="33.59999999999999" customHeight="1">
      <c r="A19" s="10" t="inlineStr">
        <is>
          <t>Gris en cursiva</t>
        </is>
      </c>
      <c r="B19" s="11" t="inlineStr">
        <is>
          <t>Fila de ejemplo marcada con "Ej.". Solo muestra el formato esperado: las cifras son ilustrativas y no corresponden a Cruz Verde. Los totales no la incluyen.</t>
        </is>
      </c>
    </row>
    <row r="20" ht="19.8" customHeight="1">
      <c r="A20" s="10" t="inlineStr">
        <is>
          <t>Ejemplo de formato</t>
        </is>
      </c>
      <c r="B20" s="11" t="inlineStr">
        <is>
          <t>Cantidades: 1.000    Montos en COP: 45.000.000    Porcentajes: 90,0%</t>
        </is>
      </c>
    </row>
    <row r="22" ht="24" customHeight="1">
      <c r="A22" s="7" t="inlineStr">
        <is>
          <t>Definiciones</t>
        </is>
      </c>
      <c r="B22" s="4" t="n"/>
    </row>
    <row r="23" ht="19.8" customHeight="1">
      <c r="A23" s="5" t="inlineStr">
        <is>
          <t>Intento de pago</t>
        </is>
      </c>
      <c r="B23" s="6" t="inlineStr">
        <is>
          <t>Cada vez que un cliente envía un pago para autorización. Una misma orden puede tener varios intentos.</t>
        </is>
      </c>
    </row>
    <row r="24" ht="19.8" customHeight="1">
      <c r="A24" s="5" t="inlineStr">
        <is>
          <t>Orden</t>
        </is>
      </c>
      <c r="B24" s="6" t="inlineStr">
        <is>
          <t>Pedido del cliente en el sistema de Cruz Verde, sin importar cuántos intentos de pago tuvo.</t>
        </is>
      </c>
    </row>
    <row r="25" ht="19.8" customHeight="1">
      <c r="A25" s="5" t="inlineStr">
        <is>
          <t>Tasa de aprobación por intento</t>
        </is>
      </c>
      <c r="B25" s="6" t="inlineStr">
        <is>
          <t>Pagos aprobados dividido entre intentos de pago.</t>
        </is>
      </c>
    </row>
    <row r="26" ht="19.8" customHeight="1">
      <c r="A26" s="5" t="inlineStr">
        <is>
          <t>Tasa de aprobación por orden</t>
        </is>
      </c>
      <c r="B26" s="6" t="inlineStr">
        <is>
          <t>Órdenes pagadas dividido entre órdenes con al menos un intento de pago.</t>
        </is>
      </c>
    </row>
    <row r="27" ht="33.59999999999999" customHeight="1">
      <c r="A27" s="5" t="inlineStr">
        <is>
          <t>Rechazo definitivo (hard decline)</t>
        </is>
      </c>
      <c r="B27" s="6" t="inlineStr">
        <is>
          <t>El banco emisor indica que esa tarjeta no puede aprobar el pago: tarjeta vencida, cancelada, reportada o inactiva. Reintentar con la misma tarjeta no cambia el resultado.</t>
        </is>
      </c>
    </row>
    <row r="28" ht="33.59999999999999" customHeight="1">
      <c r="A28" s="5" t="inlineStr">
        <is>
          <t>Rechazo temporal (soft decline)</t>
        </is>
      </c>
      <c r="B28" s="6" t="inlineStr">
        <is>
          <t>El rechazo depende del momento o de la ruta: fondos insuficientes, error técnico, rechazo genérico. Puede aprobarse con un reintento, por otro procesador o más tarde.</t>
        </is>
      </c>
    </row>
    <row r="29" ht="19.8" customHeight="1">
      <c r="A29" s="5" t="inlineStr">
        <is>
          <t>Rechazo por riesgo</t>
        </is>
      </c>
      <c r="B29" s="6" t="inlineStr">
        <is>
          <t>El pago lo detiene el motor de prevención de fraude del proveedor o del banco.</t>
        </is>
      </c>
    </row>
    <row r="30" ht="19.8" customHeight="1">
      <c r="A30" s="5" t="inlineStr">
        <is>
          <t>Rechazo por datos del comprador</t>
        </is>
      </c>
      <c r="B30" s="6" t="inlineStr">
        <is>
          <t>El cliente digitó mal un dato de la tarjeta. Se corrige en el checkout.</t>
        </is>
      </c>
    </row>
    <row r="31" ht="19.8" customHeight="1">
      <c r="A31" s="5" t="inlineStr">
        <is>
          <t>Devolución</t>
        </is>
      </c>
      <c r="B31" s="6" t="inlineStr">
        <is>
          <t>Reintegro total o parcial de un pago aprobado, iniciado por Cruz Verde.</t>
        </is>
      </c>
    </row>
    <row r="32" ht="19.8" customHeight="1">
      <c r="A32" s="5" t="inlineStr">
        <is>
          <t>Contracargo</t>
        </is>
      </c>
      <c r="B32" s="6" t="inlineStr">
        <is>
          <t>Disputa de un pago iniciada por el tarjetahabiente ante su banco.</t>
        </is>
      </c>
    </row>
    <row r="33" ht="19.8" customHeight="1">
      <c r="A33" s="5" t="inlineStr">
        <is>
          <t>Ventas aprobadas</t>
        </is>
      </c>
      <c r="B33" s="6" t="inlineStr">
        <is>
          <t>Monto total en COP de los pagos aprobados en el período.</t>
        </is>
      </c>
    </row>
  </sheetData>
  <mergeCells count="4">
    <mergeCell ref="A16:B16"/>
    <mergeCell ref="A2:B2"/>
    <mergeCell ref="A22:B22"/>
    <mergeCell ref="A1:B1"/>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282A30"/>
    <outlinePr summaryBelow="1" summaryRight="1"/>
    <pageSetUpPr fitToPage="1"/>
  </sheetPr>
  <dimension ref="A1:J9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7" customWidth="1" min="1" max="1"/>
    <col width="19" customWidth="1" min="2" max="2"/>
    <col width="62" customWidth="1" min="3" max="3"/>
    <col width="11" customWidth="1" min="4" max="4"/>
    <col width="22" customWidth="1" min="5" max="5"/>
    <col width="30" customWidth="1" min="6" max="6"/>
    <col width="16" customWidth="1" min="7" max="7"/>
    <col width="46" customWidth="1" min="8" max="8"/>
    <col width="16" customWidth="1" min="9" max="9"/>
    <col width="40" customWidth="1" min="10" max="10"/>
  </cols>
  <sheetData>
    <row r="1" ht="34" customHeight="1">
      <c r="A1" s="12" t="inlineStr">
        <is>
          <t>Resumen de la información solicitada</t>
        </is>
      </c>
      <c r="B1" s="2" t="n"/>
      <c r="C1" s="2" t="n"/>
      <c r="D1" s="2" t="n"/>
      <c r="E1" s="2" t="n"/>
      <c r="F1" s="2" t="n"/>
      <c r="G1" s="2" t="n"/>
      <c r="H1" s="2" t="n"/>
      <c r="I1" s="2" t="n"/>
      <c r="J1" s="2" t="n"/>
    </row>
    <row r="2" ht="24" customHeight="1">
      <c r="A2" s="3" t="inlineStr">
        <is>
          <t>Lista completa de solicitudes. Usen las columnas Estado y Comentarios para llevar el avance. El nombre de la hoja lleva a la tabla correspondiente.</t>
        </is>
      </c>
      <c r="B2" s="4" t="n"/>
      <c r="C2" s="4" t="n"/>
      <c r="D2" s="4" t="n"/>
      <c r="E2" s="4" t="n"/>
      <c r="F2" s="4" t="n"/>
      <c r="G2" s="4" t="n"/>
      <c r="H2" s="4" t="n"/>
      <c r="I2" s="4" t="n"/>
      <c r="J2" s="4" t="n"/>
    </row>
    <row r="4" ht="24" customHeight="1">
      <c r="A4" s="13">
        <f>"Solicitudes: "&amp;COUNTA($A$7:$A$96)&amp;".   Prioridad A: "&amp;COUNTIF($D$7:$D$96,"A")&amp;".   Prioridad B: "&amp;COUNTIF($D$7:$D$96,"B")&amp;".   Prioridad C: "&amp;COUNTIF($D$7:$D$96,"C")&amp;".   Enviadas: "&amp;COUNTIF($I$7:$I$96,"Enviado")&amp;".   Pendientes: "&amp;COUNTIF($I$7:$I$96,"Pendiente")&amp;"."</f>
        <v/>
      </c>
      <c r="B4" s="14" t="n"/>
      <c r="C4" s="14" t="n"/>
      <c r="D4" s="14" t="n"/>
      <c r="E4" s="14" t="n"/>
      <c r="F4" s="14" t="n"/>
      <c r="G4" s="14" t="n"/>
      <c r="H4" s="14" t="n"/>
      <c r="I4" s="14" t="n"/>
      <c r="J4" s="14" t="n"/>
    </row>
    <row r="6" ht="32" customHeight="1">
      <c r="A6" s="15" t="inlineStr">
        <is>
          <t>ID</t>
        </is>
      </c>
      <c r="B6" s="15" t="inlineStr">
        <is>
          <t>Hoja</t>
        </is>
      </c>
      <c r="C6" s="15" t="inlineStr">
        <is>
          <t>Información solicitada</t>
        </is>
      </c>
      <c r="D6" s="15" t="inlineStr">
        <is>
          <t>Prioridad</t>
        </is>
      </c>
      <c r="E6" s="15" t="inlineStr">
        <is>
          <t>Área sugerida</t>
        </is>
      </c>
      <c r="F6" s="15" t="inlineStr">
        <is>
          <t>Para qué la usamos</t>
        </is>
      </c>
      <c r="G6" s="15" t="inlineStr">
        <is>
          <t>Se calcula con el export</t>
        </is>
      </c>
      <c r="H6" s="15" t="inlineStr">
        <is>
          <t>Dato que tenemos hoy, a confirmar</t>
        </is>
      </c>
      <c r="I6" s="15" t="inlineStr">
        <is>
          <t>Estado</t>
        </is>
      </c>
      <c r="J6" s="15" t="inlineStr">
        <is>
          <t>Comentarios de Cruz Verde</t>
        </is>
      </c>
    </row>
    <row r="7" ht="19.8" customHeight="1">
      <c r="A7" s="16" t="inlineStr">
        <is>
          <t>1.1</t>
        </is>
      </c>
      <c r="B7" s="17" t="inlineStr">
        <is>
          <t>1. Export</t>
        </is>
      </c>
      <c r="C7" s="18" t="inlineStr">
        <is>
          <t>Export transaccional por intento de pago con los 24 campos de la hoja</t>
        </is>
      </c>
      <c r="D7" s="19" t="inlineStr">
        <is>
          <t>A</t>
        </is>
      </c>
      <c r="E7" s="18" t="inlineStr">
        <is>
          <t>TI y Finanzas</t>
        </is>
      </c>
      <c r="F7" s="18" t="inlineStr">
        <is>
          <t>Todas las partes del caso</t>
        </is>
      </c>
      <c r="G7" s="20" t="inlineStr">
        <is>
          <t>Es el export</t>
        </is>
      </c>
      <c r="H7" s="21" t="inlineStr"/>
      <c r="I7" s="22" t="inlineStr">
        <is>
          <t>Pendiente</t>
        </is>
      </c>
      <c r="J7" s="23" t="n"/>
    </row>
    <row r="8" ht="33.59999999999999" customHeight="1">
      <c r="A8" s="16" t="inlineStr">
        <is>
          <t>2.1</t>
        </is>
      </c>
      <c r="B8" s="17" t="inlineStr">
        <is>
          <t>2. Volumen</t>
        </is>
      </c>
      <c r="C8" s="18" t="inlineStr">
        <is>
          <t>Volumen mensual de todos los medios de pago</t>
        </is>
      </c>
      <c r="D8" s="19" t="inlineStr">
        <is>
          <t>A</t>
        </is>
      </c>
      <c r="E8" s="18" t="inlineStr">
        <is>
          <t>Ecommerce y Finanzas</t>
        </is>
      </c>
      <c r="F8" s="18" t="inlineStr">
        <is>
          <t>La base del caso y el precio por tiers</t>
        </is>
      </c>
      <c r="G8" s="20" t="inlineStr">
        <is>
          <t>Sí</t>
        </is>
      </c>
      <c r="H8" s="21" t="inlineStr">
        <is>
          <t>Más de 100.000 transacciones al mes, cerca de 80.000 por Mercado Pago y 20.000 en efectivo (llamada del 21 de mayo).</t>
        </is>
      </c>
      <c r="I8" s="22" t="inlineStr">
        <is>
          <t>Pendiente</t>
        </is>
      </c>
      <c r="J8" s="23" t="n"/>
    </row>
    <row r="9" ht="33.59999999999999" customHeight="1">
      <c r="A9" s="16" t="inlineStr">
        <is>
          <t>2.2</t>
        </is>
      </c>
      <c r="B9" s="17" t="inlineStr">
        <is>
          <t>2. Volumen</t>
        </is>
      </c>
      <c r="C9" s="18" t="inlineStr">
        <is>
          <t>Volumen por canal, acumulado de los 12 meses</t>
        </is>
      </c>
      <c r="D9" s="19" t="inlineStr">
        <is>
          <t>A</t>
        </is>
      </c>
      <c r="E9" s="18" t="inlineStr">
        <is>
          <t>Ecommerce</t>
        </is>
      </c>
      <c r="F9" s="18" t="inlineStr">
        <is>
          <t>Aprobación por canal y alcance de la integración</t>
        </is>
      </c>
      <c r="G9" s="20" t="inlineStr">
        <is>
          <t>Parcial</t>
        </is>
      </c>
      <c r="H9" s="21" t="inlineStr"/>
      <c r="I9" s="22" t="inlineStr">
        <is>
          <t>Pendiente</t>
        </is>
      </c>
      <c r="J9" s="23" t="n"/>
    </row>
    <row r="10" ht="33.59999999999999" customHeight="1">
      <c r="A10" s="16" t="inlineStr">
        <is>
          <t>2.3</t>
        </is>
      </c>
      <c r="B10" s="17" t="inlineStr">
        <is>
          <t>2. Volumen</t>
        </is>
      </c>
      <c r="C10" s="18" t="inlineStr">
        <is>
          <t>Distribución por rango de ticket, acumulado de los 12 meses</t>
        </is>
      </c>
      <c r="D10" s="19" t="inlineStr">
        <is>
          <t>A</t>
        </is>
      </c>
      <c r="E10" s="18" t="inlineStr">
        <is>
          <t>Ecommerce y Finanzas</t>
        </is>
      </c>
      <c r="F10" s="18" t="inlineStr">
        <is>
          <t>El costo por transacción frente al ticket y la aprobación por monto</t>
        </is>
      </c>
      <c r="G10" s="20" t="inlineStr">
        <is>
          <t>Sí</t>
        </is>
      </c>
      <c r="H10" s="21" t="inlineStr">
        <is>
          <t>Ticket promedio de COP 130.000 y a la baja, con 40% de las transacciones por debajo de COP 30.000 (llamada del 21 de mayo).</t>
        </is>
      </c>
      <c r="I10" s="22" t="inlineStr">
        <is>
          <t>Pendiente</t>
        </is>
      </c>
      <c r="J10" s="23" t="n"/>
    </row>
    <row r="11" ht="47.4" customHeight="1">
      <c r="A11" s="16" t="inlineStr">
        <is>
          <t>2.4</t>
        </is>
      </c>
      <c r="B11" s="17" t="inlineStr">
        <is>
          <t>2. Volumen</t>
        </is>
      </c>
      <c r="C11" s="18" t="inlineStr">
        <is>
          <t>Órdenes por tipo de entrega, acumulado de los 12 meses</t>
        </is>
      </c>
      <c r="D11" s="19" t="inlineStr">
        <is>
          <t>B</t>
        </is>
      </c>
      <c r="E11" s="18" t="inlineStr">
        <is>
          <t>Ecommerce</t>
        </is>
      </c>
      <c r="F11" s="18" t="inlineStr">
        <is>
          <t>El checkout con medios de pago distintos por tipo de entrega</t>
        </is>
      </c>
      <c r="G11" s="20" t="inlineStr">
        <is>
          <t>Parcial</t>
        </is>
      </c>
      <c r="H11" s="21" t="inlineStr">
        <is>
          <t>Interés en un checkout con medios de pago distintos para entrega el mismo día y al día siguiente (reunión del 25 de septiembre).</t>
        </is>
      </c>
      <c r="I11" s="22" t="inlineStr">
        <is>
          <t>Pendiente</t>
        </is>
      </c>
      <c r="J11" s="23" t="n"/>
    </row>
    <row r="12" ht="19.8" customHeight="1">
      <c r="A12" s="16" t="inlineStr">
        <is>
          <t>2.5</t>
        </is>
      </c>
      <c r="B12" s="17" t="inlineStr">
        <is>
          <t>2. Volumen</t>
        </is>
      </c>
      <c r="C12" s="18" t="inlineStr">
        <is>
          <t>Ticket promedio actual del canal digital (COP).</t>
        </is>
      </c>
      <c r="D12" s="19" t="inlineStr">
        <is>
          <t>A</t>
        </is>
      </c>
      <c r="E12" s="18" t="inlineStr">
        <is>
          <t>Ecommerce</t>
        </is>
      </c>
      <c r="F12" s="18" t="inlineStr">
        <is>
          <t>Base del caso</t>
        </is>
      </c>
      <c r="G12" s="20" t="inlineStr">
        <is>
          <t>Sí</t>
        </is>
      </c>
      <c r="H12" s="21" t="inlineStr">
        <is>
          <t>COP 130.000 y a la baja (llamada del 21 de mayo).</t>
        </is>
      </c>
      <c r="I12" s="22" t="inlineStr">
        <is>
          <t>Pendiente</t>
        </is>
      </c>
      <c r="J12" s="23" t="n"/>
    </row>
    <row r="13" ht="33.59999999999999" customHeight="1">
      <c r="A13" s="16" t="inlineStr">
        <is>
          <t>2.6</t>
        </is>
      </c>
      <c r="B13" s="17" t="inlineStr">
        <is>
          <t>2. Volumen</t>
        </is>
      </c>
      <c r="C13" s="18" t="inlineStr">
        <is>
          <t>Volumen mensual que esperan para 2027 (pagos aprobados por mes).</t>
        </is>
      </c>
      <c r="D13" s="19" t="inlineStr">
        <is>
          <t>A</t>
        </is>
      </c>
      <c r="E13" s="18" t="inlineStr">
        <is>
          <t>Ecommerce y Finanzas</t>
        </is>
      </c>
      <c r="F13" s="18" t="inlineStr">
        <is>
          <t>Precio por tiers</t>
        </is>
      </c>
      <c r="G13" s="20" t="inlineStr">
        <is>
          <t>No</t>
        </is>
      </c>
      <c r="H13" s="21" t="inlineStr">
        <is>
          <t>Confirmaron que sí alcanzan las 100.000 transacciones mensuales (reunión del 25 de septiembre).</t>
        </is>
      </c>
      <c r="I13" s="22" t="inlineStr">
        <is>
          <t>Pendiente</t>
        </is>
      </c>
      <c r="J13" s="23" t="n"/>
    </row>
    <row r="14" ht="19.8" customHeight="1">
      <c r="A14" s="16" t="inlineStr">
        <is>
          <t>2.7</t>
        </is>
      </c>
      <c r="B14" s="17" t="inlineStr">
        <is>
          <t>2. Volumen</t>
        </is>
      </c>
      <c r="C14" s="18" t="inlineStr">
        <is>
          <t>Crecimiento esperado del canal digital en 2027 (%).</t>
        </is>
      </c>
      <c r="D14" s="19" t="inlineStr">
        <is>
          <t>B</t>
        </is>
      </c>
      <c r="E14" s="18" t="inlineStr">
        <is>
          <t>Ecommerce</t>
        </is>
      </c>
      <c r="F14" s="18" t="inlineStr">
        <is>
          <t>Proyección del caso</t>
        </is>
      </c>
      <c r="G14" s="20" t="inlineStr">
        <is>
          <t>No</t>
        </is>
      </c>
      <c r="H14" s="21" t="inlineStr"/>
      <c r="I14" s="22" t="inlineStr">
        <is>
          <t>Pendiente</t>
        </is>
      </c>
      <c r="J14" s="23" t="n"/>
    </row>
    <row r="15" ht="19.8" customHeight="1">
      <c r="A15" s="16" t="inlineStr">
        <is>
          <t>2.8</t>
        </is>
      </c>
      <c r="B15" s="17" t="inlineStr">
        <is>
          <t>2. Volumen</t>
        </is>
      </c>
      <c r="C15" s="18" t="inlineStr">
        <is>
          <t>Fechas de mayor demanda del año y número de transacciones del día pico.</t>
        </is>
      </c>
      <c r="D15" s="19" t="inlineStr">
        <is>
          <t>B</t>
        </is>
      </c>
      <c r="E15" s="18" t="inlineStr">
        <is>
          <t>Ecommerce</t>
        </is>
      </c>
      <c r="F15" s="18" t="inlineStr">
        <is>
          <t>Continuidad</t>
        </is>
      </c>
      <c r="G15" s="20" t="inlineStr">
        <is>
          <t>Sí</t>
        </is>
      </c>
      <c r="H15" s="21" t="inlineStr"/>
      <c r="I15" s="22" t="inlineStr">
        <is>
          <t>Pendiente</t>
        </is>
      </c>
      <c r="J15" s="23" t="n"/>
    </row>
    <row r="16" ht="19.8" customHeight="1">
      <c r="A16" s="16" t="inlineStr">
        <is>
          <t>2.9</t>
        </is>
      </c>
      <c r="B16" s="17" t="inlineStr">
        <is>
          <t>2. Volumen</t>
        </is>
      </c>
      <c r="C16" s="18" t="inlineStr">
        <is>
          <t>Transacciones por minuto en el momento de mayor demanda.</t>
        </is>
      </c>
      <c r="D16" s="19" t="inlineStr">
        <is>
          <t>C</t>
        </is>
      </c>
      <c r="E16" s="18" t="inlineStr">
        <is>
          <t>TI</t>
        </is>
      </c>
      <c r="F16" s="18" t="inlineStr">
        <is>
          <t>Continuidad</t>
        </is>
      </c>
      <c r="G16" s="20" t="inlineStr">
        <is>
          <t>Sí</t>
        </is>
      </c>
      <c r="H16" s="21" t="inlineStr"/>
      <c r="I16" s="22" t="inlineStr">
        <is>
          <t>Pendiente</t>
        </is>
      </c>
      <c r="J16" s="23" t="n"/>
    </row>
    <row r="17" ht="19.8" customHeight="1">
      <c r="A17" s="16" t="inlineStr">
        <is>
          <t>2.10</t>
        </is>
      </c>
      <c r="B17" s="17" t="inlineStr">
        <is>
          <t>2. Volumen</t>
        </is>
      </c>
      <c r="C17" s="18" t="inlineStr">
        <is>
          <t>Porcentaje de clientes que compraron más de una vez en los últimos 12 meses.</t>
        </is>
      </c>
      <c r="D17" s="19" t="inlineStr">
        <is>
          <t>B</t>
        </is>
      </c>
      <c r="E17" s="18" t="inlineStr">
        <is>
          <t>Ecommerce</t>
        </is>
      </c>
      <c r="F17" s="18" t="inlineStr">
        <is>
          <t>Nuevos medios de pago</t>
        </is>
      </c>
      <c r="G17" s="20" t="inlineStr">
        <is>
          <t>Parcial</t>
        </is>
      </c>
      <c r="H17" s="21" t="inlineStr"/>
      <c r="I17" s="22" t="inlineStr">
        <is>
          <t>Pendiente</t>
        </is>
      </c>
      <c r="J17" s="23" t="n"/>
    </row>
    <row r="18" ht="33.59999999999999" customHeight="1">
      <c r="A18" s="16" t="inlineStr">
        <is>
          <t>3.1</t>
        </is>
      </c>
      <c r="B18" s="17" t="inlineStr">
        <is>
          <t>3. Mix de medios</t>
        </is>
      </c>
      <c r="C18" s="18" t="inlineStr">
        <is>
          <t>Volumen y aprobación por medio de pago</t>
        </is>
      </c>
      <c r="D18" s="19" t="inlineStr">
        <is>
          <t>A</t>
        </is>
      </c>
      <c r="E18" s="18" t="inlineStr">
        <is>
          <t>Ecommerce y Finanzas</t>
        </is>
      </c>
      <c r="F18" s="18" t="inlineStr">
        <is>
          <t>La base de todas las partes del caso</t>
        </is>
      </c>
      <c r="G18" s="20" t="inlineStr">
        <is>
          <t>Sí</t>
        </is>
      </c>
      <c r="H18" s="21" t="inlineStr">
        <is>
          <t>Cerca de 60% PSE y 40% tarjetas (reunión del 25 de septiembre); PSE con 58% de las ventas (llamada del 21 de mayo).</t>
        </is>
      </c>
      <c r="I18" s="22" t="inlineStr">
        <is>
          <t>Pendiente</t>
        </is>
      </c>
      <c r="J18" s="23" t="n"/>
    </row>
    <row r="19" ht="33.59999999999999" customHeight="1">
      <c r="A19" s="16" t="inlineStr">
        <is>
          <t>3.2</t>
        </is>
      </c>
      <c r="B19" s="17" t="inlineStr">
        <is>
          <t>3. Mix de medios</t>
        </is>
      </c>
      <c r="C19" s="18" t="inlineStr">
        <is>
          <t>Tarjetas por marca y tipo</t>
        </is>
      </c>
      <c r="D19" s="19" t="inlineStr">
        <is>
          <t>A</t>
        </is>
      </c>
      <c r="E19" s="18" t="inlineStr">
        <is>
          <t>Ecommerce y Finanzas</t>
        </is>
      </c>
      <c r="F19" s="18" t="inlineStr">
        <is>
          <t>Aprobación por marca y costo transaccional</t>
        </is>
      </c>
      <c r="G19" s="20" t="inlineStr">
        <is>
          <t>Sí</t>
        </is>
      </c>
      <c r="H19" s="21" t="inlineStr"/>
      <c r="I19" s="22" t="inlineStr">
        <is>
          <t>Pendiente</t>
        </is>
      </c>
      <c r="J19" s="23" t="n"/>
    </row>
    <row r="20" ht="19.8" customHeight="1">
      <c r="A20" s="16" t="inlineStr">
        <is>
          <t>3.3</t>
        </is>
      </c>
      <c r="B20" s="17" t="inlineStr">
        <is>
          <t>3. Mix de medios</t>
        </is>
      </c>
      <c r="C20" s="18" t="inlineStr">
        <is>
          <t>Tarjetas por origen y modalidad</t>
        </is>
      </c>
      <c r="D20" s="19" t="inlineStr">
        <is>
          <t>B</t>
        </is>
      </c>
      <c r="E20" s="18" t="inlineStr">
        <is>
          <t>Ecommerce</t>
        </is>
      </c>
      <c r="F20" s="18" t="inlineStr">
        <is>
          <t>Aprobación por segmento</t>
        </is>
      </c>
      <c r="G20" s="20" t="inlineStr">
        <is>
          <t>Parcial</t>
        </is>
      </c>
      <c r="H20" s="21" t="inlineStr"/>
      <c r="I20" s="22" t="inlineStr">
        <is>
          <t>Pendiente</t>
        </is>
      </c>
      <c r="J20" s="23" t="n"/>
    </row>
    <row r="21" ht="33.59999999999999" customHeight="1">
      <c r="A21" s="16" t="inlineStr">
        <is>
          <t>3.4</t>
        </is>
      </c>
      <c r="B21" s="17" t="inlineStr">
        <is>
          <t>3. Mix de medios</t>
        </is>
      </c>
      <c r="C21" s="18" t="inlineStr">
        <is>
          <t>Modalidad de las transacciones en efectivo: pago contra entrega, recaudo en puntos físicos u otra. Indicar el proveedor si existe.</t>
        </is>
      </c>
      <c r="D21" s="19" t="inlineStr">
        <is>
          <t>A</t>
        </is>
      </c>
      <c r="E21" s="18" t="inlineStr">
        <is>
          <t>Ecommerce y Finanzas</t>
        </is>
      </c>
      <c r="F21" s="18" t="inlineStr">
        <is>
          <t>Base del caso</t>
        </is>
      </c>
      <c r="G21" s="20" t="inlineStr">
        <is>
          <t>No</t>
        </is>
      </c>
      <c r="H21" s="21" t="inlineStr">
        <is>
          <t>Cerca de 20.000 transacciones al mes en efectivo (llamada del 21 de mayo).</t>
        </is>
      </c>
      <c r="I21" s="22" t="inlineStr">
        <is>
          <t>Pendiente</t>
        </is>
      </c>
      <c r="J21" s="23" t="n"/>
    </row>
    <row r="22" ht="33.59999999999999" customHeight="1">
      <c r="A22" s="16" t="inlineStr">
        <is>
          <t>3.5</t>
        </is>
      </c>
      <c r="B22" s="17" t="inlineStr">
        <is>
          <t>3. Mix de medios</t>
        </is>
      </c>
      <c r="C22" s="18" t="inlineStr">
        <is>
          <t>Links de pago: para qué casos se usan y cuántos se generan y se pagan al mes.</t>
        </is>
      </c>
      <c r="D22" s="19" t="inlineStr">
        <is>
          <t>B</t>
        </is>
      </c>
      <c r="E22" s="18" t="inlineStr">
        <is>
          <t>Ecommerce</t>
        </is>
      </c>
      <c r="F22" s="18" t="inlineStr">
        <is>
          <t>Alcance de la integración</t>
        </is>
      </c>
      <c r="G22" s="20" t="inlineStr">
        <is>
          <t>Parcial</t>
        </is>
      </c>
      <c r="H22" s="21" t="inlineStr">
        <is>
          <t>Usan links de pago de Mercado Pago para puntos de venta (llamada del 21 de mayo).</t>
        </is>
      </c>
      <c r="I22" s="22" t="inlineStr">
        <is>
          <t>Pendiente</t>
        </is>
      </c>
      <c r="J22" s="23" t="n"/>
    </row>
    <row r="23" ht="33.59999999999999" customHeight="1">
      <c r="A23" s="16" t="inlineStr">
        <is>
          <t>4.1</t>
        </is>
      </c>
      <c r="B23" s="17" t="inlineStr">
        <is>
          <t>4. Aprobación</t>
        </is>
      </c>
      <c r="C23" s="18" t="inlineStr">
        <is>
          <t>Aprobación por banco emisor: los 15 bancos con más intentos</t>
        </is>
      </c>
      <c r="D23" s="19" t="inlineStr">
        <is>
          <t>A</t>
        </is>
      </c>
      <c r="E23" s="18" t="inlineStr">
        <is>
          <t>Ecommerce y Finanzas</t>
        </is>
      </c>
      <c r="F23" s="18" t="inlineStr">
        <is>
          <t>Aprobación: dónde se concentran los rechazos</t>
        </is>
      </c>
      <c r="G23" s="20" t="inlineStr">
        <is>
          <t>Sí</t>
        </is>
      </c>
      <c r="H23" s="21" t="inlineStr">
        <is>
          <t>Aprobación en tarjetas cercana a 90% (reunión del 25 de septiembre); 91% sin reintentos (llamada del 21 de mayo).</t>
        </is>
      </c>
      <c r="I23" s="22" t="inlineStr">
        <is>
          <t>Pendiente</t>
        </is>
      </c>
      <c r="J23" s="23" t="n"/>
    </row>
    <row r="24" ht="33.59999999999999" customHeight="1">
      <c r="A24" s="16" t="inlineStr">
        <is>
          <t>4.2</t>
        </is>
      </c>
      <c r="B24" s="17" t="inlineStr">
        <is>
          <t>4. Aprobación</t>
        </is>
      </c>
      <c r="C24" s="18" t="inlineStr">
        <is>
          <t>Aprobación por intento frente a aprobación por orden</t>
        </is>
      </c>
      <c r="D24" s="19" t="inlineStr">
        <is>
          <t>A</t>
        </is>
      </c>
      <c r="E24" s="18" t="inlineStr">
        <is>
          <t>Ecommerce</t>
        </is>
      </c>
      <c r="F24" s="18" t="inlineStr">
        <is>
          <t>Aprobación: cuánta venta se pierde después de un rechazo</t>
        </is>
      </c>
      <c r="G24" s="20" t="inlineStr">
        <is>
          <t>Sí</t>
        </is>
      </c>
      <c r="H24" s="21" t="inlineStr"/>
      <c r="I24" s="22" t="inlineStr">
        <is>
          <t>Pendiente</t>
        </is>
      </c>
      <c r="J24" s="23" t="n"/>
    </row>
    <row r="25" ht="19.8" customHeight="1">
      <c r="A25" s="16" t="inlineStr">
        <is>
          <t>4.3</t>
        </is>
      </c>
      <c r="B25" s="17" t="inlineStr">
        <is>
          <t>4. Aprobación</t>
        </is>
      </c>
      <c r="C25" s="18" t="inlineStr">
        <is>
          <t>¿La tasa de aprobación que manejan hoy se mide por intento o por orden?</t>
        </is>
      </c>
      <c r="D25" s="19" t="inlineStr">
        <is>
          <t>A</t>
        </is>
      </c>
      <c r="E25" s="18" t="inlineStr">
        <is>
          <t>Ecommerce</t>
        </is>
      </c>
      <c r="F25" s="18" t="inlineStr">
        <is>
          <t>Aprobación</t>
        </is>
      </c>
      <c r="G25" s="20" t="inlineStr">
        <is>
          <t>No</t>
        </is>
      </c>
      <c r="H25" s="21" t="inlineStr">
        <is>
          <t>Cerca de 90% en tarjetas (reunión del 25 de septiembre).</t>
        </is>
      </c>
      <c r="I25" s="22" t="inlineStr">
        <is>
          <t>Pendiente</t>
        </is>
      </c>
      <c r="J25" s="23" t="n"/>
    </row>
    <row r="26" ht="33.59999999999999" customHeight="1">
      <c r="A26" s="16" t="inlineStr">
        <is>
          <t>4.4</t>
        </is>
      </c>
      <c r="B26" s="17" t="inlineStr">
        <is>
          <t>4. Aprobación</t>
        </is>
      </c>
      <c r="C26" s="18" t="inlineStr">
        <is>
          <t>¿Hacen reintentos automáticos cuando un pago es rechazado? Si es así, con qué lógica y cuántas veces.</t>
        </is>
      </c>
      <c r="D26" s="19" t="inlineStr">
        <is>
          <t>A</t>
        </is>
      </c>
      <c r="E26" s="18" t="inlineStr">
        <is>
          <t>TI</t>
        </is>
      </c>
      <c r="F26" s="18" t="inlineStr">
        <is>
          <t>Aprobación</t>
        </is>
      </c>
      <c r="G26" s="20" t="inlineStr">
        <is>
          <t>No</t>
        </is>
      </c>
      <c r="H26" s="21" t="inlineStr">
        <is>
          <t>91% de aprobación sin reintentos (llamada del 21 de mayo).</t>
        </is>
      </c>
      <c r="I26" s="22" t="inlineStr">
        <is>
          <t>Pendiente</t>
        </is>
      </c>
      <c r="J26" s="23" t="n"/>
    </row>
    <row r="27" ht="33.59999999999999" customHeight="1">
      <c r="A27" s="16" t="inlineStr">
        <is>
          <t>4.5</t>
        </is>
      </c>
      <c r="B27" s="17" t="inlineStr">
        <is>
          <t>4. Aprobación</t>
        </is>
      </c>
      <c r="C27" s="18" t="inlineStr">
        <is>
          <t>¿Qué ve el cliente cuando su pago es rechazado? Indicar si se le ofrece otro medio de pago.</t>
        </is>
      </c>
      <c r="D27" s="19" t="inlineStr">
        <is>
          <t>B</t>
        </is>
      </c>
      <c r="E27" s="18" t="inlineStr">
        <is>
          <t>Ecommerce</t>
        </is>
      </c>
      <c r="F27" s="18" t="inlineStr">
        <is>
          <t>Aprobación</t>
        </is>
      </c>
      <c r="G27" s="20" t="inlineStr">
        <is>
          <t>No</t>
        </is>
      </c>
      <c r="H27" s="21" t="inlineStr"/>
      <c r="I27" s="22" t="inlineStr">
        <is>
          <t>Pendiente</t>
        </is>
      </c>
      <c r="J27" s="23" t="n"/>
    </row>
    <row r="28" ht="33.59999999999999" customHeight="1">
      <c r="A28" s="16" t="inlineStr">
        <is>
          <t>4.6</t>
        </is>
      </c>
      <c r="B28" s="17" t="inlineStr">
        <is>
          <t>4. Aprobación</t>
        </is>
      </c>
      <c r="C28" s="18" t="inlineStr">
        <is>
          <t>¿Mercado Pago aplica autenticación 3DS a sus pagos con tarjeta? Indicar a qué porcentaje de los pagos.</t>
        </is>
      </c>
      <c r="D28" s="19" t="inlineStr">
        <is>
          <t>B</t>
        </is>
      </c>
      <c r="E28" s="18" t="inlineStr">
        <is>
          <t>TI</t>
        </is>
      </c>
      <c r="F28" s="18" t="inlineStr">
        <is>
          <t>Aprobación</t>
        </is>
      </c>
      <c r="G28" s="20" t="inlineStr">
        <is>
          <t>No</t>
        </is>
      </c>
      <c r="H28" s="21" t="inlineStr"/>
      <c r="I28" s="22" t="inlineStr">
        <is>
          <t>Pendiente</t>
        </is>
      </c>
      <c r="J28" s="23" t="n"/>
    </row>
    <row r="29" ht="33.59999999999999" customHeight="1">
      <c r="A29" s="16" t="inlineStr">
        <is>
          <t>4.7</t>
        </is>
      </c>
      <c r="B29" s="17" t="inlineStr">
        <is>
          <t>4. Aprobación</t>
        </is>
      </c>
      <c r="C29" s="18" t="inlineStr">
        <is>
          <t>Si aplica 3DS: porcentaje de autenticaciones exitosas, fallidas y abandonadas.</t>
        </is>
      </c>
      <c r="D29" s="19" t="inlineStr">
        <is>
          <t>C</t>
        </is>
      </c>
      <c r="E29" s="18" t="inlineStr">
        <is>
          <t>TI</t>
        </is>
      </c>
      <c r="F29" s="18" t="inlineStr">
        <is>
          <t>Aprobación</t>
        </is>
      </c>
      <c r="G29" s="20" t="inlineStr">
        <is>
          <t>Parcial</t>
        </is>
      </c>
      <c r="H29" s="21" t="inlineStr"/>
      <c r="I29" s="22" t="inlineStr">
        <is>
          <t>Pendiente</t>
        </is>
      </c>
      <c r="J29" s="23" t="n"/>
    </row>
    <row r="30" ht="33.59999999999999" customHeight="1">
      <c r="A30" s="16" t="inlineStr">
        <is>
          <t>4.8</t>
        </is>
      </c>
      <c r="B30" s="17" t="inlineStr">
        <is>
          <t>4. Aprobación</t>
        </is>
      </c>
      <c r="C30" s="18" t="inlineStr">
        <is>
          <t>Patrones de rechazo por hora del día o día de la semana, si los han identificado.</t>
        </is>
      </c>
      <c r="D30" s="19" t="inlineStr">
        <is>
          <t>C</t>
        </is>
      </c>
      <c r="E30" s="18" t="inlineStr">
        <is>
          <t>Ecommerce</t>
        </is>
      </c>
      <c r="F30" s="18" t="inlineStr">
        <is>
          <t>Aprobación</t>
        </is>
      </c>
      <c r="G30" s="20" t="inlineStr">
        <is>
          <t>Sí</t>
        </is>
      </c>
      <c r="H30" s="21" t="inlineStr"/>
      <c r="I30" s="22" t="inlineStr">
        <is>
          <t>Pendiente</t>
        </is>
      </c>
      <c r="J30" s="23" t="n"/>
    </row>
    <row r="31" ht="33.59999999999999" customHeight="1">
      <c r="A31" s="16" t="inlineStr">
        <is>
          <t>5.1</t>
        </is>
      </c>
      <c r="B31" s="17" t="inlineStr">
        <is>
          <t>5. Rechazos</t>
        </is>
      </c>
      <c r="C31" s="18" t="inlineStr">
        <is>
          <t>Rechazos por motivo</t>
        </is>
      </c>
      <c r="D31" s="19" t="inlineStr">
        <is>
          <t>A</t>
        </is>
      </c>
      <c r="E31" s="18" t="inlineStr">
        <is>
          <t>Ecommerce y TI</t>
        </is>
      </c>
      <c r="F31" s="18" t="inlineStr">
        <is>
          <t>Aprobación: qué parte de los rechazos es recuperable</t>
        </is>
      </c>
      <c r="G31" s="20" t="inlineStr">
        <is>
          <t>Sí</t>
        </is>
      </c>
      <c r="H31" s="21" t="inlineStr">
        <is>
          <t>La mayoría de los rechazos son declinaciones definitivas del banco emisor (reunión del 25 de septiembre).</t>
        </is>
      </c>
      <c r="I31" s="22" t="inlineStr">
        <is>
          <t>Pendiente</t>
        </is>
      </c>
      <c r="J31" s="23" t="n"/>
    </row>
    <row r="32" ht="33.59999999999999" customHeight="1">
      <c r="A32" s="16" t="inlineStr">
        <is>
          <t>5.2</t>
        </is>
      </c>
      <c r="B32" s="17" t="inlineStr">
        <is>
          <t>5. Rechazos</t>
        </is>
      </c>
      <c r="C32" s="18" t="inlineStr">
        <is>
          <t>Separación entre rechazos definitivos y temporales</t>
        </is>
      </c>
      <c r="D32" s="19" t="inlineStr">
        <is>
          <t>A</t>
        </is>
      </c>
      <c r="E32" s="18" t="inlineStr">
        <is>
          <t>Ecommerce y TI</t>
        </is>
      </c>
      <c r="F32" s="18" t="inlineStr">
        <is>
          <t>Aprobación: el potencial real de recuperación</t>
        </is>
      </c>
      <c r="G32" s="20" t="inlineStr">
        <is>
          <t>Sí</t>
        </is>
      </c>
      <c r="H32" s="21" t="inlineStr">
        <is>
          <t>La mayoría de los rechazos son declinaciones definitivas del banco emisor (reunión del 25 de septiembre).</t>
        </is>
      </c>
      <c r="I32" s="22" t="inlineStr">
        <is>
          <t>Pendiente</t>
        </is>
      </c>
      <c r="J32" s="23" t="n"/>
    </row>
    <row r="33" ht="33.59999999999999" customHeight="1">
      <c r="A33" s="16" t="inlineStr">
        <is>
          <t>5.3</t>
        </is>
      </c>
      <c r="B33" s="17" t="inlineStr">
        <is>
          <t>5. Rechazos</t>
        </is>
      </c>
      <c r="C33" s="18" t="inlineStr">
        <is>
          <t>¿De dónde sale hoy la clasificación de un rechazo como definitivo? Por ejemplo: reporte de Mercado Pago, análisis interno, información del banco.</t>
        </is>
      </c>
      <c r="D33" s="19" t="inlineStr">
        <is>
          <t>A</t>
        </is>
      </c>
      <c r="E33" s="18" t="inlineStr">
        <is>
          <t>Ecommerce</t>
        </is>
      </c>
      <c r="F33" s="18" t="inlineStr">
        <is>
          <t>Aprobación</t>
        </is>
      </c>
      <c r="G33" s="20" t="inlineStr">
        <is>
          <t>No</t>
        </is>
      </c>
      <c r="H33" s="21" t="inlineStr">
        <is>
          <t>La mayoría de los rechazos son declinaciones definitivas del banco emisor (reunión del 25 de septiembre).</t>
        </is>
      </c>
      <c r="I33" s="22" t="inlineStr">
        <is>
          <t>Pendiente</t>
        </is>
      </c>
      <c r="J33" s="23" t="n"/>
    </row>
    <row r="34" ht="33.59999999999999" customHeight="1">
      <c r="A34" s="16" t="inlineStr">
        <is>
          <t>5.4</t>
        </is>
      </c>
      <c r="B34" s="17" t="inlineStr">
        <is>
          <t>5. Rechazos</t>
        </is>
      </c>
      <c r="C34" s="18" t="inlineStr">
        <is>
          <t>¿Tienen acceso al código de respuesta original del banco emisor o solo al motivo que entrega Mercado Pago?</t>
        </is>
      </c>
      <c r="D34" s="19" t="inlineStr">
        <is>
          <t>A</t>
        </is>
      </c>
      <c r="E34" s="18" t="inlineStr">
        <is>
          <t>TI</t>
        </is>
      </c>
      <c r="F34" s="18" t="inlineStr">
        <is>
          <t>Aprobación</t>
        </is>
      </c>
      <c r="G34" s="20" t="inlineStr">
        <is>
          <t>No</t>
        </is>
      </c>
      <c r="H34" s="21" t="inlineStr"/>
      <c r="I34" s="22" t="inlineStr">
        <is>
          <t>Pendiente</t>
        </is>
      </c>
      <c r="J34" s="23" t="n"/>
    </row>
    <row r="35" ht="33.59999999999999" customHeight="1">
      <c r="A35" s="16" t="inlineStr">
        <is>
          <t>5.5</t>
        </is>
      </c>
      <c r="B35" s="17" t="inlineStr">
        <is>
          <t>5. Rechazos</t>
        </is>
      </c>
      <c r="C35" s="18" t="inlineStr">
        <is>
          <t>Rechazos por prevención de fraude: ¿pueden ajustar las reglas o es una decisión cerrada del proveedor?</t>
        </is>
      </c>
      <c r="D35" s="19" t="inlineStr">
        <is>
          <t>B</t>
        </is>
      </c>
      <c r="E35" s="18" t="inlineStr">
        <is>
          <t>TI</t>
        </is>
      </c>
      <c r="F35" s="18" t="inlineStr">
        <is>
          <t>Aprobación</t>
        </is>
      </c>
      <c r="G35" s="20" t="inlineStr">
        <is>
          <t>No</t>
        </is>
      </c>
      <c r="H35" s="21" t="inlineStr">
        <is>
          <t>Fraude por debajo de 0,05% (llamada del 21 de mayo).</t>
        </is>
      </c>
      <c r="I35" s="22" t="inlineStr">
        <is>
          <t>Pendiente</t>
        </is>
      </c>
      <c r="J35" s="23" t="n"/>
    </row>
    <row r="36" ht="33.59999999999999" customHeight="1">
      <c r="A36" s="16" t="inlineStr">
        <is>
          <t>5.6</t>
        </is>
      </c>
      <c r="B36" s="17" t="inlineStr">
        <is>
          <t>5. Rechazos</t>
        </is>
      </c>
      <c r="C36" s="18" t="inlineStr">
        <is>
          <t>¿Los rechazos se concentran en algún rango de ticket, canal o tipo de tarjeta?</t>
        </is>
      </c>
      <c r="D36" s="19" t="inlineStr">
        <is>
          <t>B</t>
        </is>
      </c>
      <c r="E36" s="18" t="inlineStr">
        <is>
          <t>Ecommerce</t>
        </is>
      </c>
      <c r="F36" s="18" t="inlineStr">
        <is>
          <t>Aprobación</t>
        </is>
      </c>
      <c r="G36" s="20" t="inlineStr">
        <is>
          <t>Sí</t>
        </is>
      </c>
      <c r="H36" s="21" t="inlineStr"/>
      <c r="I36" s="22" t="inlineStr">
        <is>
          <t>Pendiente</t>
        </is>
      </c>
      <c r="J36" s="23" t="n"/>
    </row>
    <row r="37" ht="33.59999999999999" customHeight="1">
      <c r="A37" s="16" t="inlineStr">
        <is>
          <t>5.7</t>
        </is>
      </c>
      <c r="B37" s="17" t="inlineStr">
        <is>
          <t>5. Rechazos</t>
        </is>
      </c>
      <c r="C37" s="18" t="inlineStr">
        <is>
          <t>¿Han medido cuántos clientes con pago rechazado terminan comprando en tienda física o no compran?</t>
        </is>
      </c>
      <c r="D37" s="19" t="inlineStr">
        <is>
          <t>C</t>
        </is>
      </c>
      <c r="E37" s="18" t="inlineStr">
        <is>
          <t>Ecommerce</t>
        </is>
      </c>
      <c r="F37" s="18" t="inlineStr">
        <is>
          <t>Aprobación</t>
        </is>
      </c>
      <c r="G37" s="20" t="inlineStr">
        <is>
          <t>No</t>
        </is>
      </c>
      <c r="H37" s="21" t="inlineStr"/>
      <c r="I37" s="22" t="inlineStr">
        <is>
          <t>Pendiente</t>
        </is>
      </c>
      <c r="J37" s="23" t="n"/>
    </row>
    <row r="38" ht="47.4" customHeight="1">
      <c r="A38" s="16" t="inlineStr">
        <is>
          <t>6.1</t>
        </is>
      </c>
      <c r="B38" s="17" t="inlineStr">
        <is>
          <t>6. PSE y efectivo</t>
        </is>
      </c>
      <c r="C38" s="18" t="inlineStr">
        <is>
          <t>Embudo de pagos por PSE</t>
        </is>
      </c>
      <c r="D38" s="19" t="inlineStr">
        <is>
          <t>A</t>
        </is>
      </c>
      <c r="E38" s="18" t="inlineStr">
        <is>
          <t>Ecommerce y TI</t>
        </is>
      </c>
      <c r="F38" s="18" t="inlineStr">
        <is>
          <t>Aprobación real de PSE y continuidad</t>
        </is>
      </c>
      <c r="G38" s="20" t="inlineStr">
        <is>
          <t>Sí</t>
        </is>
      </c>
      <c r="H38" s="21" t="inlineStr">
        <is>
          <t>Aprobación por PSE cercana a 100% (reunión del 25 de septiembre). Queremos confirmar si se mide sobre pagos iniciados o sobre pagos finalizados.</t>
        </is>
      </c>
      <c r="I38" s="22" t="inlineStr">
        <is>
          <t>Pendiente</t>
        </is>
      </c>
      <c r="J38" s="23" t="n"/>
    </row>
    <row r="39" ht="19.8" customHeight="1">
      <c r="A39" s="16" t="inlineStr">
        <is>
          <t>6.2</t>
        </is>
      </c>
      <c r="B39" s="17" t="inlineStr">
        <is>
          <t>6. PSE y efectivo</t>
        </is>
      </c>
      <c r="C39" s="18" t="inlineStr">
        <is>
          <t>PSE por banco: los 10 bancos con más pagos iniciados</t>
        </is>
      </c>
      <c r="D39" s="19" t="inlineStr">
        <is>
          <t>B</t>
        </is>
      </c>
      <c r="E39" s="18" t="inlineStr">
        <is>
          <t>Ecommerce y TI</t>
        </is>
      </c>
      <c r="F39" s="18" t="inlineStr">
        <is>
          <t>Aprobación de PSE por banco</t>
        </is>
      </c>
      <c r="G39" s="20" t="inlineStr">
        <is>
          <t>Sí</t>
        </is>
      </c>
      <c r="H39" s="21" t="inlineStr"/>
      <c r="I39" s="22" t="inlineStr">
        <is>
          <t>Pendiente</t>
        </is>
      </c>
      <c r="J39" s="23" t="n"/>
    </row>
    <row r="40" ht="33.59999999999999" customHeight="1">
      <c r="A40" s="16" t="inlineStr">
        <is>
          <t>6.3</t>
        </is>
      </c>
      <c r="B40" s="17" t="inlineStr">
        <is>
          <t>6. PSE y efectivo</t>
        </is>
      </c>
      <c r="C40" s="18" t="inlineStr">
        <is>
          <t>Embudo de pagos en efectivo</t>
        </is>
      </c>
      <c r="D40" s="19" t="inlineStr">
        <is>
          <t>B</t>
        </is>
      </c>
      <c r="E40" s="18" t="inlineStr">
        <is>
          <t>Ecommerce y Finanzas</t>
        </is>
      </c>
      <c r="F40" s="18" t="inlineStr">
        <is>
          <t>La base del caso y nuevos medios de pago</t>
        </is>
      </c>
      <c r="G40" s="20" t="inlineStr">
        <is>
          <t>Parcial</t>
        </is>
      </c>
      <c r="H40" s="21" t="inlineStr">
        <is>
          <t>Cerca de 20.000 transacciones al mes en efectivo (llamada del 21 de mayo).</t>
        </is>
      </c>
      <c r="I40" s="22" t="inlineStr">
        <is>
          <t>Pendiente</t>
        </is>
      </c>
      <c r="J40" s="23" t="n"/>
    </row>
    <row r="41" ht="19.8" customHeight="1">
      <c r="A41" s="16" t="inlineStr">
        <is>
          <t>6.4</t>
        </is>
      </c>
      <c r="B41" s="17" t="inlineStr">
        <is>
          <t>6. PSE y efectivo</t>
        </is>
      </c>
      <c r="C41" s="18" t="inlineStr">
        <is>
          <t>Tiempo promedio entre el inicio del pago por PSE y su confirmación.</t>
        </is>
      </c>
      <c r="D41" s="19" t="inlineStr">
        <is>
          <t>B</t>
        </is>
      </c>
      <c r="E41" s="18" t="inlineStr">
        <is>
          <t>TI</t>
        </is>
      </c>
      <c r="F41" s="18" t="inlineStr">
        <is>
          <t>Continuidad</t>
        </is>
      </c>
      <c r="G41" s="20" t="inlineStr">
        <is>
          <t>Sí</t>
        </is>
      </c>
      <c r="H41" s="21" t="inlineStr"/>
      <c r="I41" s="22" t="inlineStr">
        <is>
          <t>Pendiente</t>
        </is>
      </c>
      <c r="J41" s="23" t="n"/>
    </row>
    <row r="42" ht="33.59999999999999" customHeight="1">
      <c r="A42" s="16" t="inlineStr">
        <is>
          <t>6.5</t>
        </is>
      </c>
      <c r="B42" s="17" t="inlineStr">
        <is>
          <t>6. PSE y efectivo</t>
        </is>
      </c>
      <c r="C42" s="18" t="inlineStr">
        <is>
          <t>Pagos por PSE confirmados después de que la orden se canceló o expiró: cuántos al mes y cómo los manejan.</t>
        </is>
      </c>
      <c r="D42" s="19" t="inlineStr">
        <is>
          <t>B</t>
        </is>
      </c>
      <c r="E42" s="18" t="inlineStr">
        <is>
          <t>Ecommerce y Finanzas</t>
        </is>
      </c>
      <c r="F42" s="18" t="inlineStr">
        <is>
          <t>Devoluciones y conciliación</t>
        </is>
      </c>
      <c r="G42" s="20" t="inlineStr">
        <is>
          <t>Parcial</t>
        </is>
      </c>
      <c r="H42" s="21" t="inlineStr"/>
      <c r="I42" s="22" t="inlineStr">
        <is>
          <t>Pendiente</t>
        </is>
      </c>
      <c r="J42" s="23" t="n"/>
    </row>
    <row r="43" ht="33.59999999999999" customHeight="1">
      <c r="A43" s="16" t="inlineStr">
        <is>
          <t>7.1</t>
        </is>
      </c>
      <c r="B43" s="17" t="inlineStr">
        <is>
          <t>7. Incidentes</t>
        </is>
      </c>
      <c r="C43" s="18" t="inlineStr">
        <is>
          <t>Registro de caídas o intermitencias</t>
        </is>
      </c>
      <c r="D43" s="19" t="inlineStr">
        <is>
          <t>A</t>
        </is>
      </c>
      <c r="E43" s="18" t="inlineStr">
        <is>
          <t>TI y Ecommerce</t>
        </is>
      </c>
      <c r="F43" s="18" t="inlineStr">
        <is>
          <t>Continuidad: el costo de depender de una sola ruta</t>
        </is>
      </c>
      <c r="G43" s="20" t="inlineStr">
        <is>
          <t>No</t>
        </is>
      </c>
      <c r="H43" s="21" t="inlineStr">
        <is>
          <t>Caídas de PSE y dependencia de un solo proveedor entre los dolores mencionados (llamada del 21 de mayo).</t>
        </is>
      </c>
      <c r="I43" s="22" t="inlineStr">
        <is>
          <t>Pendiente</t>
        </is>
      </c>
      <c r="J43" s="23" t="n"/>
    </row>
    <row r="44" ht="19.8" customHeight="1">
      <c r="A44" s="16" t="inlineStr">
        <is>
          <t>7.2</t>
        </is>
      </c>
      <c r="B44" s="17" t="inlineStr">
        <is>
          <t>7. Incidentes</t>
        </is>
      </c>
      <c r="C44" s="18" t="inlineStr">
        <is>
          <t>Número de caídas o intermitencias de PSE en los últimos 12 meses.</t>
        </is>
      </c>
      <c r="D44" s="19" t="inlineStr">
        <is>
          <t>A</t>
        </is>
      </c>
      <c r="E44" s="18" t="inlineStr">
        <is>
          <t>TI</t>
        </is>
      </c>
      <c r="F44" s="18" t="inlineStr">
        <is>
          <t>Continuidad</t>
        </is>
      </c>
      <c r="G44" s="20" t="inlineStr">
        <is>
          <t>No</t>
        </is>
      </c>
      <c r="H44" s="21" t="inlineStr">
        <is>
          <t>Caídas de PSE mencionadas como dolor (llamada del 21 de mayo).</t>
        </is>
      </c>
      <c r="I44" s="22" t="inlineStr">
        <is>
          <t>Pendiente</t>
        </is>
      </c>
      <c r="J44" s="23" t="n"/>
    </row>
    <row r="45" ht="19.8" customHeight="1">
      <c r="A45" s="16" t="inlineStr">
        <is>
          <t>7.3</t>
        </is>
      </c>
      <c r="B45" s="17" t="inlineStr">
        <is>
          <t>7. Incidentes</t>
        </is>
      </c>
      <c r="C45" s="18" t="inlineStr">
        <is>
          <t>Tiempo total sin servicio de pagos en los últimos 12 meses (horas).</t>
        </is>
      </c>
      <c r="D45" s="19" t="inlineStr">
        <is>
          <t>A</t>
        </is>
      </c>
      <c r="E45" s="18" t="inlineStr">
        <is>
          <t>TI</t>
        </is>
      </c>
      <c r="F45" s="18" t="inlineStr">
        <is>
          <t>Continuidad</t>
        </is>
      </c>
      <c r="G45" s="20" t="inlineStr">
        <is>
          <t>No</t>
        </is>
      </c>
      <c r="H45" s="21" t="inlineStr"/>
      <c r="I45" s="22" t="inlineStr">
        <is>
          <t>Pendiente</t>
        </is>
      </c>
      <c r="J45" s="23" t="n"/>
    </row>
    <row r="46" ht="33.59999999999999" customHeight="1">
      <c r="A46" s="16" t="inlineStr">
        <is>
          <t>7.4</t>
        </is>
      </c>
      <c r="B46" s="17" t="inlineStr">
        <is>
          <t>7. Incidentes</t>
        </is>
      </c>
      <c r="C46" s="18" t="inlineStr">
        <is>
          <t>¿Qué alternativa tiene el cliente cuando PSE o Mercado Pago no responde?</t>
        </is>
      </c>
      <c r="D46" s="19" t="inlineStr">
        <is>
          <t>A</t>
        </is>
      </c>
      <c r="E46" s="18" t="inlineStr">
        <is>
          <t>Ecommerce y TI</t>
        </is>
      </c>
      <c r="F46" s="18" t="inlineStr">
        <is>
          <t>Continuidad</t>
        </is>
      </c>
      <c r="G46" s="20" t="inlineStr">
        <is>
          <t>No</t>
        </is>
      </c>
      <c r="H46" s="21" t="inlineStr">
        <is>
          <t>Mercado Pago es el único proveedor (reunión del 25 de septiembre).</t>
        </is>
      </c>
      <c r="I46" s="22" t="inlineStr">
        <is>
          <t>Pendiente</t>
        </is>
      </c>
      <c r="J46" s="23" t="n"/>
    </row>
    <row r="47" ht="33.59999999999999" customHeight="1">
      <c r="A47" s="16" t="inlineStr">
        <is>
          <t>7.5</t>
        </is>
      </c>
      <c r="B47" s="17" t="inlineStr">
        <is>
          <t>7. Incidentes</t>
        </is>
      </c>
      <c r="C47" s="18" t="inlineStr">
        <is>
          <t>Ventas promedio por hora en horario de mayor demanda y en horario normal (COP).</t>
        </is>
      </c>
      <c r="D47" s="19" t="inlineStr">
        <is>
          <t>B</t>
        </is>
      </c>
      <c r="E47" s="18" t="inlineStr">
        <is>
          <t>Ecommerce</t>
        </is>
      </c>
      <c r="F47" s="18" t="inlineStr">
        <is>
          <t>Continuidad</t>
        </is>
      </c>
      <c r="G47" s="20" t="inlineStr">
        <is>
          <t>Sí</t>
        </is>
      </c>
      <c r="H47" s="21" t="inlineStr"/>
      <c r="I47" s="22" t="inlineStr">
        <is>
          <t>Pendiente</t>
        </is>
      </c>
      <c r="J47" s="23" t="n"/>
    </row>
    <row r="48" ht="33.59999999999999" customHeight="1">
      <c r="A48" s="16" t="inlineStr">
        <is>
          <t>7.6</t>
        </is>
      </c>
      <c r="B48" s="17" t="inlineStr">
        <is>
          <t>7. Incidentes</t>
        </is>
      </c>
      <c r="C48" s="18" t="inlineStr">
        <is>
          <t>¿Cómo monitorean hoy la disponibilidad de los pagos? Por ejemplo: alertas, tableros, avisos del proveedor.</t>
        </is>
      </c>
      <c r="D48" s="19" t="inlineStr">
        <is>
          <t>B</t>
        </is>
      </c>
      <c r="E48" s="18" t="inlineStr">
        <is>
          <t>TI</t>
        </is>
      </c>
      <c r="F48" s="18" t="inlineStr">
        <is>
          <t>Continuidad</t>
        </is>
      </c>
      <c r="G48" s="20" t="inlineStr">
        <is>
          <t>No</t>
        </is>
      </c>
      <c r="H48" s="21" t="inlineStr"/>
      <c r="I48" s="22" t="inlineStr">
        <is>
          <t>Pendiente</t>
        </is>
      </c>
      <c r="J48" s="23" t="n"/>
    </row>
    <row r="49" ht="33.59999999999999" customHeight="1">
      <c r="A49" s="16" t="inlineStr">
        <is>
          <t>8.1</t>
        </is>
      </c>
      <c r="B49" s="17" t="inlineStr">
        <is>
          <t>8. Devoluciones</t>
        </is>
      </c>
      <c r="C49" s="18" t="inlineStr">
        <is>
          <t>Devoluciones por medio de pago</t>
        </is>
      </c>
      <c r="D49" s="19" t="inlineStr">
        <is>
          <t>A</t>
        </is>
      </c>
      <c r="E49" s="18" t="inlineStr">
        <is>
          <t>Finanzas y Ecommerce</t>
        </is>
      </c>
      <c r="F49" s="18" t="inlineStr">
        <is>
          <t>Devoluciones: volumen, tiempos y costo actual</t>
        </is>
      </c>
      <c r="G49" s="20" t="inlineStr">
        <is>
          <t>Parcial</t>
        </is>
      </c>
      <c r="H49" s="21" t="inlineStr">
        <is>
          <t>Devoluciones cercanas a 5% de las compras, concentradas en PSE (reunión del 25 de septiembre).</t>
        </is>
      </c>
      <c r="I49" s="22" t="inlineStr">
        <is>
          <t>Pendiente</t>
        </is>
      </c>
      <c r="J49" s="23" t="n"/>
    </row>
    <row r="50" ht="33.59999999999999" customHeight="1">
      <c r="A50" s="16" t="inlineStr">
        <is>
          <t>8.2</t>
        </is>
      </c>
      <c r="B50" s="17" t="inlineStr">
        <is>
          <t>8. Devoluciones</t>
        </is>
      </c>
      <c r="C50" s="18" t="inlineStr">
        <is>
          <t>Motivos de devolución</t>
        </is>
      </c>
      <c r="D50" s="19" t="inlineStr">
        <is>
          <t>A</t>
        </is>
      </c>
      <c r="E50" s="18" t="inlineStr">
        <is>
          <t>Ecommerce</t>
        </is>
      </c>
      <c r="F50" s="18" t="inlineStr">
        <is>
          <t>Devoluciones: cuáles se pueden evitar y cuáles resolver con saldo</t>
        </is>
      </c>
      <c r="G50" s="20" t="inlineStr">
        <is>
          <t>No</t>
        </is>
      </c>
      <c r="H50" s="21" t="inlineStr"/>
      <c r="I50" s="22" t="inlineStr">
        <is>
          <t>Pendiente</t>
        </is>
      </c>
      <c r="J50" s="23" t="n"/>
    </row>
    <row r="51" ht="33.59999999999999" customHeight="1">
      <c r="A51" s="16" t="inlineStr">
        <is>
          <t>8.3</t>
        </is>
      </c>
      <c r="B51" s="17" t="inlineStr">
        <is>
          <t>8. Devoluciones</t>
        </is>
      </c>
      <c r="C51" s="18" t="inlineStr">
        <is>
          <t>Describir el proceso actual de una devolución por PSE, paso a paso: quién la solicita, quién la aprueba y cómo se gira el dinero.</t>
        </is>
      </c>
      <c r="D51" s="19" t="inlineStr">
        <is>
          <t>A</t>
        </is>
      </c>
      <c r="E51" s="18" t="inlineStr">
        <is>
          <t>Finanzas</t>
        </is>
      </c>
      <c r="F51" s="18" t="inlineStr">
        <is>
          <t>Devoluciones</t>
        </is>
      </c>
      <c r="G51" s="20" t="inlineStr">
        <is>
          <t>No</t>
        </is>
      </c>
      <c r="H51" s="21" t="inlineStr">
        <is>
          <t>Devoluciones de PSE mencionadas como dolor (llamada del 21 de mayo).</t>
        </is>
      </c>
      <c r="I51" s="22" t="inlineStr">
        <is>
          <t>Pendiente</t>
        </is>
      </c>
      <c r="J51" s="23" t="n"/>
    </row>
    <row r="52" ht="33.59999999999999" customHeight="1">
      <c r="A52" s="16" t="inlineStr">
        <is>
          <t>8.4</t>
        </is>
      </c>
      <c r="B52" s="17" t="inlineStr">
        <is>
          <t>8. Devoluciones</t>
        </is>
      </c>
      <c r="C52" s="18" t="inlineStr">
        <is>
          <t>¿La devolución por PSE la ejecuta Mercado Pago o la hace Cruz Verde por transferencia bancaria?</t>
        </is>
      </c>
      <c r="D52" s="19" t="inlineStr">
        <is>
          <t>A</t>
        </is>
      </c>
      <c r="E52" s="18" t="inlineStr">
        <is>
          <t>Finanzas</t>
        </is>
      </c>
      <c r="F52" s="18" t="inlineStr">
        <is>
          <t>Devoluciones</t>
        </is>
      </c>
      <c r="G52" s="20" t="inlineStr">
        <is>
          <t>No</t>
        </is>
      </c>
      <c r="H52" s="21" t="inlineStr"/>
      <c r="I52" s="22" t="inlineStr">
        <is>
          <t>Pendiente</t>
        </is>
      </c>
      <c r="J52" s="23" t="n"/>
    </row>
    <row r="53" ht="33.59999999999999" customHeight="1">
      <c r="A53" s="16" t="inlineStr">
        <is>
          <t>8.5</t>
        </is>
      </c>
      <c r="B53" s="17" t="inlineStr">
        <is>
          <t>8. Devoluciones</t>
        </is>
      </c>
      <c r="C53" s="18" t="inlineStr">
        <is>
          <t>Solicitudes o reclamos de clientes relacionados con devoluciones, promedio al mes.</t>
        </is>
      </c>
      <c r="D53" s="19" t="inlineStr">
        <is>
          <t>B</t>
        </is>
      </c>
      <c r="E53" s="18" t="inlineStr">
        <is>
          <t>Ecommerce</t>
        </is>
      </c>
      <c r="F53" s="18" t="inlineStr">
        <is>
          <t>Devoluciones</t>
        </is>
      </c>
      <c r="G53" s="20" t="inlineStr">
        <is>
          <t>No</t>
        </is>
      </c>
      <c r="H53" s="21" t="inlineStr"/>
      <c r="I53" s="22" t="inlineStr">
        <is>
          <t>Pendiente</t>
        </is>
      </c>
      <c r="J53" s="23" t="n"/>
    </row>
    <row r="54" ht="33.59999999999999" customHeight="1">
      <c r="A54" s="16" t="inlineStr">
        <is>
          <t>8.6</t>
        </is>
      </c>
      <c r="B54" s="17" t="inlineStr">
        <is>
          <t>8. Devoluciones</t>
        </is>
      </c>
      <c r="C54" s="18" t="inlineStr">
        <is>
          <t>Porcentaje de las devoluciones que podría entregarse como saldo o crédito Cruz Verde si existiera esa opción.</t>
        </is>
      </c>
      <c r="D54" s="19" t="inlineStr">
        <is>
          <t>B</t>
        </is>
      </c>
      <c r="E54" s="18" t="inlineStr">
        <is>
          <t>Ecommerce y Finanzas</t>
        </is>
      </c>
      <c r="F54" s="18" t="inlineStr">
        <is>
          <t>Devoluciones</t>
        </is>
      </c>
      <c r="G54" s="20" t="inlineStr">
        <is>
          <t>No</t>
        </is>
      </c>
      <c r="H54" s="21" t="inlineStr">
        <is>
          <t>Interés en gift cards o créditos Cruz Verde para devoluciones y pagos (reunión del 25 de septiembre).</t>
        </is>
      </c>
      <c r="I54" s="22" t="inlineStr">
        <is>
          <t>Pendiente</t>
        </is>
      </c>
      <c r="J54" s="23" t="n"/>
    </row>
    <row r="55" ht="19.8" customHeight="1">
      <c r="A55" s="16" t="inlineStr">
        <is>
          <t>8.7</t>
        </is>
      </c>
      <c r="B55" s="17" t="inlineStr">
        <is>
          <t>8. Devoluciones</t>
        </is>
      </c>
      <c r="C55" s="18" t="inlineStr">
        <is>
          <t>Contracargos en los últimos 12 meses: número y monto (COP).</t>
        </is>
      </c>
      <c r="D55" s="19" t="inlineStr">
        <is>
          <t>B</t>
        </is>
      </c>
      <c r="E55" s="18" t="inlineStr">
        <is>
          <t>Finanzas</t>
        </is>
      </c>
      <c r="F55" s="18" t="inlineStr">
        <is>
          <t>Costo transaccional</t>
        </is>
      </c>
      <c r="G55" s="20" t="inlineStr">
        <is>
          <t>Parcial</t>
        </is>
      </c>
      <c r="H55" s="21" t="inlineStr">
        <is>
          <t>Contracargos muy bajos (reunión del 25 de septiembre).</t>
        </is>
      </c>
      <c r="I55" s="22" t="inlineStr">
        <is>
          <t>Pendiente</t>
        </is>
      </c>
      <c r="J55" s="23" t="n"/>
    </row>
    <row r="56" ht="19.8" customHeight="1">
      <c r="A56" s="16" t="inlineStr">
        <is>
          <t>8.8</t>
        </is>
      </c>
      <c r="B56" s="17" t="inlineStr">
        <is>
          <t>8. Devoluciones</t>
        </is>
      </c>
      <c r="C56" s="18" t="inlineStr">
        <is>
          <t>Tasa de contracargos sobre los pagos aprobados con tarjeta (%).</t>
        </is>
      </c>
      <c r="D56" s="19" t="inlineStr">
        <is>
          <t>B</t>
        </is>
      </c>
      <c r="E56" s="18" t="inlineStr">
        <is>
          <t>Finanzas</t>
        </is>
      </c>
      <c r="F56" s="18" t="inlineStr">
        <is>
          <t>Costo transaccional</t>
        </is>
      </c>
      <c r="G56" s="20" t="inlineStr">
        <is>
          <t>Parcial</t>
        </is>
      </c>
      <c r="H56" s="21" t="inlineStr"/>
      <c r="I56" s="22" t="inlineStr">
        <is>
          <t>Pendiente</t>
        </is>
      </c>
      <c r="J56" s="23" t="n"/>
    </row>
    <row r="57" ht="19.8" customHeight="1">
      <c r="A57" s="16" t="inlineStr">
        <is>
          <t>8.9</t>
        </is>
      </c>
      <c r="B57" s="17" t="inlineStr">
        <is>
          <t>8. Devoluciones</t>
        </is>
      </c>
      <c r="C57" s="18" t="inlineStr">
        <is>
          <t>Motivos principales de contracargo.</t>
        </is>
      </c>
      <c r="D57" s="19" t="inlineStr">
        <is>
          <t>C</t>
        </is>
      </c>
      <c r="E57" s="18" t="inlineStr">
        <is>
          <t>Finanzas</t>
        </is>
      </c>
      <c r="F57" s="18" t="inlineStr">
        <is>
          <t>Costo transaccional</t>
        </is>
      </c>
      <c r="G57" s="20" t="inlineStr">
        <is>
          <t>No</t>
        </is>
      </c>
      <c r="H57" s="21" t="inlineStr"/>
      <c r="I57" s="22" t="inlineStr">
        <is>
          <t>Pendiente</t>
        </is>
      </c>
      <c r="J57" s="23" t="n"/>
    </row>
    <row r="58" ht="19.8" customHeight="1">
      <c r="A58" s="16" t="inlineStr">
        <is>
          <t>8.10</t>
        </is>
      </c>
      <c r="B58" s="17" t="inlineStr">
        <is>
          <t>8. Devoluciones</t>
        </is>
      </c>
      <c r="C58" s="18" t="inlineStr">
        <is>
          <t>Porcentaje de contracargos ganados en disputa.</t>
        </is>
      </c>
      <c r="D58" s="19" t="inlineStr">
        <is>
          <t>C</t>
        </is>
      </c>
      <c r="E58" s="18" t="inlineStr">
        <is>
          <t>Finanzas</t>
        </is>
      </c>
      <c r="F58" s="18" t="inlineStr">
        <is>
          <t>Costo transaccional</t>
        </is>
      </c>
      <c r="G58" s="20" t="inlineStr">
        <is>
          <t>No</t>
        </is>
      </c>
      <c r="H58" s="21" t="inlineStr"/>
      <c r="I58" s="22" t="inlineStr">
        <is>
          <t>Pendiente</t>
        </is>
      </c>
      <c r="J58" s="23" t="n"/>
    </row>
    <row r="59" ht="19.8" customHeight="1">
      <c r="A59" s="16" t="inlineStr">
        <is>
          <t>8.11</t>
        </is>
      </c>
      <c r="B59" s="17" t="inlineStr">
        <is>
          <t>8. Devoluciones</t>
        </is>
      </c>
      <c r="C59" s="18" t="inlineStr">
        <is>
          <t>Tasa de fraude confirmado sobre los pagos aprobados (%).</t>
        </is>
      </c>
      <c r="D59" s="19" t="inlineStr">
        <is>
          <t>B</t>
        </is>
      </c>
      <c r="E59" s="18" t="inlineStr">
        <is>
          <t>Finanzas</t>
        </is>
      </c>
      <c r="F59" s="18" t="inlineStr">
        <is>
          <t>Aprobación</t>
        </is>
      </c>
      <c r="G59" s="20" t="inlineStr">
        <is>
          <t>No</t>
        </is>
      </c>
      <c r="H59" s="21" t="inlineStr">
        <is>
          <t>Por debajo de 0,05% (llamada del 21 de mayo).</t>
        </is>
      </c>
      <c r="I59" s="22" t="inlineStr">
        <is>
          <t>Pendiente</t>
        </is>
      </c>
      <c r="J59" s="23" t="n"/>
    </row>
    <row r="60" ht="33.59999999999999" customHeight="1">
      <c r="A60" s="16" t="inlineStr">
        <is>
          <t>8.12</t>
        </is>
      </c>
      <c r="B60" s="17" t="inlineStr">
        <is>
          <t>8. Devoluciones</t>
        </is>
      </c>
      <c r="C60" s="18" t="inlineStr">
        <is>
          <t>Herramientas o reglas de prevención de fraude que usan además de las de Mercado Pago.</t>
        </is>
      </c>
      <c r="D60" s="19" t="inlineStr">
        <is>
          <t>C</t>
        </is>
      </c>
      <c r="E60" s="18" t="inlineStr">
        <is>
          <t>TI</t>
        </is>
      </c>
      <c r="F60" s="18" t="inlineStr">
        <is>
          <t>Aprobación</t>
        </is>
      </c>
      <c r="G60" s="20" t="inlineStr">
        <is>
          <t>No</t>
        </is>
      </c>
      <c r="H60" s="21" t="inlineStr">
        <is>
          <t>Una herramienta antifraude no es prioridad en esta etapa (reunión del 25 de septiembre).</t>
        </is>
      </c>
      <c r="I60" s="22" t="inlineStr">
        <is>
          <t>Pendiente</t>
        </is>
      </c>
      <c r="J60" s="23" t="n"/>
    </row>
    <row r="61" ht="33.59999999999999" customHeight="1">
      <c r="A61" s="16" t="inlineStr">
        <is>
          <t>9.1</t>
        </is>
      </c>
      <c r="B61" s="17" t="inlineStr">
        <is>
          <t>9. Costos</t>
        </is>
      </c>
      <c r="C61" s="18" t="inlineStr">
        <is>
          <t>Tarifas por medio de pago</t>
        </is>
      </c>
      <c r="D61" s="19" t="inlineStr">
        <is>
          <t>A</t>
        </is>
      </c>
      <c r="E61" s="18" t="inlineStr">
        <is>
          <t>Finanzas</t>
        </is>
      </c>
      <c r="F61" s="18" t="inlineStr">
        <is>
          <t>Costo transaccional: la línea base contra la que se mide el ahorro</t>
        </is>
      </c>
      <c r="G61" s="20" t="inlineStr">
        <is>
          <t>Parcial</t>
        </is>
      </c>
      <c r="H61" s="21" t="inlineStr"/>
      <c r="I61" s="22" t="inlineStr">
        <is>
          <t>Pendiente</t>
        </is>
      </c>
      <c r="J61" s="23" t="n"/>
    </row>
    <row r="62" ht="33.59999999999999" customHeight="1">
      <c r="A62" s="16" t="inlineStr">
        <is>
          <t>9.2</t>
        </is>
      </c>
      <c r="B62" s="17" t="inlineStr">
        <is>
          <t>9. Costos</t>
        </is>
      </c>
      <c r="C62" s="18" t="inlineStr">
        <is>
          <t>Otros costos asociados a pagos</t>
        </is>
      </c>
      <c r="D62" s="19" t="inlineStr">
        <is>
          <t>B</t>
        </is>
      </c>
      <c r="E62" s="18" t="inlineStr">
        <is>
          <t>Finanzas</t>
        </is>
      </c>
      <c r="F62" s="18" t="inlineStr">
        <is>
          <t>Costo transaccional: el costo total de la operación de pagos</t>
        </is>
      </c>
      <c r="G62" s="20" t="inlineStr">
        <is>
          <t>No</t>
        </is>
      </c>
      <c r="H62" s="21" t="inlineStr"/>
      <c r="I62" s="22" t="inlineStr">
        <is>
          <t>Pendiente</t>
        </is>
      </c>
      <c r="J62" s="23" t="n"/>
    </row>
    <row r="63" ht="33.59999999999999" customHeight="1">
      <c r="A63" s="16" t="inlineStr">
        <is>
          <t>9.3</t>
        </is>
      </c>
      <c r="B63" s="17" t="inlineStr">
        <is>
          <t>9. Costos</t>
        </is>
      </c>
      <c r="C63" s="18" t="inlineStr">
        <is>
          <t>Costo total mensual de procesamiento de pagos del canal digital, promedio de los últimos 3 meses (COP).</t>
        </is>
      </c>
      <c r="D63" s="19" t="inlineStr">
        <is>
          <t>A</t>
        </is>
      </c>
      <c r="E63" s="18" t="inlineStr">
        <is>
          <t>Finanzas</t>
        </is>
      </c>
      <c r="F63" s="18" t="inlineStr">
        <is>
          <t>Costo transaccional</t>
        </is>
      </c>
      <c r="G63" s="20" t="inlineStr">
        <is>
          <t>Parcial</t>
        </is>
      </c>
      <c r="H63" s="21" t="inlineStr"/>
      <c r="I63" s="22" t="inlineStr">
        <is>
          <t>Pendiente</t>
        </is>
      </c>
      <c r="J63" s="23" t="n"/>
    </row>
    <row r="64" ht="33.59999999999999" customHeight="1">
      <c r="A64" s="16" t="inlineStr">
        <is>
          <t>9.4</t>
        </is>
      </c>
      <c r="B64" s="17" t="inlineStr">
        <is>
          <t>9. Costos</t>
        </is>
      </c>
      <c r="C64" s="18" t="inlineStr">
        <is>
          <t>Documento de soporte: últimas 3 liquidaciones o facturas mensuales de Mercado Pago.</t>
        </is>
      </c>
      <c r="D64" s="19" t="inlineStr">
        <is>
          <t>A</t>
        </is>
      </c>
      <c r="E64" s="18" t="inlineStr">
        <is>
          <t>Finanzas</t>
        </is>
      </c>
      <c r="F64" s="18" t="inlineStr">
        <is>
          <t>Costo transaccional</t>
        </is>
      </c>
      <c r="G64" s="20" t="inlineStr">
        <is>
          <t>No</t>
        </is>
      </c>
      <c r="H64" s="21" t="inlineStr"/>
      <c r="I64" s="22" t="inlineStr">
        <is>
          <t>Pendiente</t>
        </is>
      </c>
      <c r="J64" s="23" t="n"/>
    </row>
    <row r="65" ht="33.59999999999999" customHeight="1">
      <c r="A65" s="16" t="inlineStr">
        <is>
          <t>9.5</t>
        </is>
      </c>
      <c r="B65" s="17" t="inlineStr">
        <is>
          <t>9. Costos</t>
        </is>
      </c>
      <c r="C65" s="18" t="inlineStr">
        <is>
          <t>Vigencia del contrato con Mercado Pago y condiciones relevantes: exclusividad, volúmenes mínimos, descuentos por volumen.</t>
        </is>
      </c>
      <c r="D65" s="19" t="inlineStr">
        <is>
          <t>A</t>
        </is>
      </c>
      <c r="E65" s="18" t="inlineStr">
        <is>
          <t>Finanzas</t>
        </is>
      </c>
      <c r="F65" s="18" t="inlineStr">
        <is>
          <t>Costo transaccional</t>
        </is>
      </c>
      <c r="G65" s="20" t="inlineStr">
        <is>
          <t>No</t>
        </is>
      </c>
      <c r="H65" s="21" t="inlineStr">
        <is>
          <t>Mercado Pago es el único proveedor (reunión del 25 de septiembre).</t>
        </is>
      </c>
      <c r="I65" s="22" t="inlineStr">
        <is>
          <t>Pendiente</t>
        </is>
      </c>
      <c r="J65" s="23" t="n"/>
    </row>
    <row r="66" ht="33.59999999999999" customHeight="1">
      <c r="A66" s="16" t="inlineStr">
        <is>
          <t>9.6</t>
        </is>
      </c>
      <c r="B66" s="17" t="inlineStr">
        <is>
          <t>9. Costos</t>
        </is>
      </c>
      <c r="C66" s="18" t="inlineStr">
        <is>
          <t>Retenciones que se aplican en la liquidación (retención en la fuente, ReteICA, ReteIVA) y cómo las registran.</t>
        </is>
      </c>
      <c r="D66" s="19" t="inlineStr">
        <is>
          <t>B</t>
        </is>
      </c>
      <c r="E66" s="18" t="inlineStr">
        <is>
          <t>Finanzas</t>
        </is>
      </c>
      <c r="F66" s="18" t="inlineStr">
        <is>
          <t>Conciliación</t>
        </is>
      </c>
      <c r="G66" s="20" t="inlineStr">
        <is>
          <t>No</t>
        </is>
      </c>
      <c r="H66" s="21" t="inlineStr"/>
      <c r="I66" s="22" t="inlineStr">
        <is>
          <t>Pendiente</t>
        </is>
      </c>
      <c r="J66" s="23" t="n"/>
    </row>
    <row r="67" ht="33.59999999999999" customHeight="1">
      <c r="A67" s="16" t="inlineStr">
        <is>
          <t>9.7</t>
        </is>
      </c>
      <c r="B67" s="17" t="inlineStr">
        <is>
          <t>9. Costos</t>
        </is>
      </c>
      <c r="C67" s="18" t="inlineStr">
        <is>
          <t>Tarifas ofrecidas por los proveedores que han evaluado, si pueden compartirlas.</t>
        </is>
      </c>
      <c r="D67" s="19" t="inlineStr">
        <is>
          <t>C</t>
        </is>
      </c>
      <c r="E67" s="18" t="inlineStr">
        <is>
          <t>Finanzas</t>
        </is>
      </c>
      <c r="F67" s="18" t="inlineStr">
        <is>
          <t>Costo transaccional</t>
        </is>
      </c>
      <c r="G67" s="20" t="inlineStr">
        <is>
          <t>No</t>
        </is>
      </c>
      <c r="H67" s="21" t="inlineStr">
        <is>
          <t>Proveedores conversados: PayU, Redeban, Movii y Kushki (reunión del 25 de septiembre).</t>
        </is>
      </c>
      <c r="I67" s="22" t="inlineStr">
        <is>
          <t>Pendiente</t>
        </is>
      </c>
      <c r="J67" s="23" t="n"/>
    </row>
    <row r="68" ht="19.8" customHeight="1">
      <c r="A68" s="16" t="inlineStr">
        <is>
          <t>9.8</t>
        </is>
      </c>
      <c r="B68" s="17" t="inlineStr">
        <is>
          <t>9. Costos</t>
        </is>
      </c>
      <c r="C68" s="18" t="inlineStr">
        <is>
          <t>Moneda y periodicidad en que prefieren recibir la facturación de Yuno.</t>
        </is>
      </c>
      <c r="D68" s="19" t="inlineStr">
        <is>
          <t>B</t>
        </is>
      </c>
      <c r="E68" s="18" t="inlineStr">
        <is>
          <t>Finanzas</t>
        </is>
      </c>
      <c r="F68" s="18" t="inlineStr">
        <is>
          <t>Propuesta comercial</t>
        </is>
      </c>
      <c r="G68" s="20" t="inlineStr">
        <is>
          <t>No</t>
        </is>
      </c>
      <c r="H68" s="21" t="inlineStr">
        <is>
          <t>Prefieren negociar en pesos (reunión del 25 de septiembre).</t>
        </is>
      </c>
      <c r="I68" s="22" t="inlineStr">
        <is>
          <t>Pendiente</t>
        </is>
      </c>
      <c r="J68" s="23" t="n"/>
    </row>
    <row r="69" ht="33.59999999999999" customHeight="1">
      <c r="A69" s="16" t="inlineStr">
        <is>
          <t>10.1</t>
        </is>
      </c>
      <c r="B69" s="17" t="inlineStr">
        <is>
          <t>10. Conciliación</t>
        </is>
      </c>
      <c r="C69" s="18" t="inlineStr">
        <is>
          <t>Describir el proceso actual de conciliación de pagos digitales, paso a paso.</t>
        </is>
      </c>
      <c r="D69" s="19" t="inlineStr">
        <is>
          <t>A</t>
        </is>
      </c>
      <c r="E69" s="18" t="inlineStr">
        <is>
          <t>Finanzas</t>
        </is>
      </c>
      <c r="F69" s="18" t="inlineStr">
        <is>
          <t>Conciliación</t>
        </is>
      </c>
      <c r="G69" s="20" t="inlineStr">
        <is>
          <t>No</t>
        </is>
      </c>
      <c r="H69" s="21" t="inlineStr">
        <is>
          <t>La conciliación es el primer frente de interés (reunión del 25 de septiembre).</t>
        </is>
      </c>
      <c r="I69" s="22" t="inlineStr">
        <is>
          <t>Pendiente</t>
        </is>
      </c>
      <c r="J69" s="23" t="n"/>
    </row>
    <row r="70" ht="33.59999999999999" customHeight="1">
      <c r="A70" s="16" t="inlineStr">
        <is>
          <t>10.2</t>
        </is>
      </c>
      <c r="B70" s="17" t="inlineStr">
        <is>
          <t>10. Conciliación</t>
        </is>
      </c>
      <c r="C70" s="18" t="inlineStr">
        <is>
          <t>Fuentes que cruzan hoy. Por ejemplo: reporte de Mercado Pago, extractos bancarios, sistema de pedidos, ERP.</t>
        </is>
      </c>
      <c r="D70" s="19" t="inlineStr">
        <is>
          <t>A</t>
        </is>
      </c>
      <c r="E70" s="18" t="inlineStr">
        <is>
          <t>Finanzas</t>
        </is>
      </c>
      <c r="F70" s="18" t="inlineStr">
        <is>
          <t>Conciliación</t>
        </is>
      </c>
      <c r="G70" s="20" t="inlineStr">
        <is>
          <t>No</t>
        </is>
      </c>
      <c r="H70" s="21" t="inlineStr"/>
      <c r="I70" s="22" t="inlineStr">
        <is>
          <t>Pendiente</t>
        </is>
      </c>
      <c r="J70" s="23" t="n"/>
    </row>
    <row r="71" ht="19.8" customHeight="1">
      <c r="A71" s="16" t="inlineStr">
        <is>
          <t>10.3</t>
        </is>
      </c>
      <c r="B71" s="17" t="inlineStr">
        <is>
          <t>10. Conciliación</t>
        </is>
      </c>
      <c r="C71" s="18" t="inlineStr">
        <is>
          <t>Sistema contable o ERP donde se registra el recaudo.</t>
        </is>
      </c>
      <c r="D71" s="19" t="inlineStr">
        <is>
          <t>A</t>
        </is>
      </c>
      <c r="E71" s="18" t="inlineStr">
        <is>
          <t>Finanzas y TI</t>
        </is>
      </c>
      <c r="F71" s="18" t="inlineStr">
        <is>
          <t>Conciliación</t>
        </is>
      </c>
      <c r="G71" s="20" t="inlineStr">
        <is>
          <t>No</t>
        </is>
      </c>
      <c r="H71" s="21" t="inlineStr"/>
      <c r="I71" s="22" t="inlineStr">
        <is>
          <t>Pendiente</t>
        </is>
      </c>
      <c r="J71" s="23" t="n"/>
    </row>
    <row r="72" ht="19.8" customHeight="1">
      <c r="A72" s="16" t="inlineStr">
        <is>
          <t>10.4</t>
        </is>
      </c>
      <c r="B72" s="17" t="inlineStr">
        <is>
          <t>10. Conciliación</t>
        </is>
      </c>
      <c r="C72" s="18" t="inlineStr">
        <is>
          <t>Frecuencia de la conciliación: diaria, semanal o mensual.</t>
        </is>
      </c>
      <c r="D72" s="19" t="inlineStr">
        <is>
          <t>A</t>
        </is>
      </c>
      <c r="E72" s="18" t="inlineStr">
        <is>
          <t>Finanzas</t>
        </is>
      </c>
      <c r="F72" s="18" t="inlineStr">
        <is>
          <t>Conciliación</t>
        </is>
      </c>
      <c r="G72" s="20" t="inlineStr">
        <is>
          <t>No</t>
        </is>
      </c>
      <c r="H72" s="21" t="inlineStr"/>
      <c r="I72" s="22" t="inlineStr">
        <is>
          <t>Pendiente</t>
        </is>
      </c>
      <c r="J72" s="23" t="n"/>
    </row>
    <row r="73" ht="19.8" customHeight="1">
      <c r="A73" s="16" t="inlineStr">
        <is>
          <t>10.5</t>
        </is>
      </c>
      <c r="B73" s="17" t="inlineStr">
        <is>
          <t>10. Conciliación</t>
        </is>
      </c>
      <c r="C73" s="18" t="inlineStr">
        <is>
          <t>Número o porcentaje de partidas que no cruzan de forma automática cada mes.</t>
        </is>
      </c>
      <c r="D73" s="19" t="inlineStr">
        <is>
          <t>A</t>
        </is>
      </c>
      <c r="E73" s="18" t="inlineStr">
        <is>
          <t>Finanzas</t>
        </is>
      </c>
      <c r="F73" s="18" t="inlineStr">
        <is>
          <t>Conciliación</t>
        </is>
      </c>
      <c r="G73" s="20" t="inlineStr">
        <is>
          <t>No</t>
        </is>
      </c>
      <c r="H73" s="21" t="inlineStr"/>
      <c r="I73" s="22" t="inlineStr">
        <is>
          <t>Pendiente</t>
        </is>
      </c>
      <c r="J73" s="23" t="n"/>
    </row>
    <row r="74" ht="33.59999999999999" customHeight="1">
      <c r="A74" s="16" t="inlineStr">
        <is>
          <t>10.6</t>
        </is>
      </c>
      <c r="B74" s="17" t="inlineStr">
        <is>
          <t>10. Conciliación</t>
        </is>
      </c>
      <c r="C74" s="18" t="inlineStr">
        <is>
          <t>Causas más frecuentes de diferencias. Por ejemplo: devoluciones, retenciones, comisiones, pagos duplicados, pagos de PSE confirmados tarde.</t>
        </is>
      </c>
      <c r="D74" s="19" t="inlineStr">
        <is>
          <t>A</t>
        </is>
      </c>
      <c r="E74" s="18" t="inlineStr">
        <is>
          <t>Finanzas</t>
        </is>
      </c>
      <c r="F74" s="18" t="inlineStr">
        <is>
          <t>Conciliación</t>
        </is>
      </c>
      <c r="G74" s="20" t="inlineStr">
        <is>
          <t>No</t>
        </is>
      </c>
      <c r="H74" s="21" t="inlineStr"/>
      <c r="I74" s="22" t="inlineStr">
        <is>
          <t>Pendiente</t>
        </is>
      </c>
      <c r="J74" s="23" t="n"/>
    </row>
    <row r="75" ht="19.8" customHeight="1">
      <c r="A75" s="16" t="inlineStr">
        <is>
          <t>10.7</t>
        </is>
      </c>
      <c r="B75" s="17" t="inlineStr">
        <is>
          <t>10. Conciliación</t>
        </is>
      </c>
      <c r="C75" s="18" t="inlineStr">
        <is>
          <t>Días que toma el cierre mensual de pagos.</t>
        </is>
      </c>
      <c r="D75" s="19" t="inlineStr">
        <is>
          <t>B</t>
        </is>
      </c>
      <c r="E75" s="18" t="inlineStr">
        <is>
          <t>Finanzas</t>
        </is>
      </c>
      <c r="F75" s="18" t="inlineStr">
        <is>
          <t>Conciliación</t>
        </is>
      </c>
      <c r="G75" s="20" t="inlineStr">
        <is>
          <t>No</t>
        </is>
      </c>
      <c r="H75" s="21" t="inlineStr"/>
      <c r="I75" s="22" t="inlineStr">
        <is>
          <t>Pendiente</t>
        </is>
      </c>
      <c r="J75" s="23" t="n"/>
    </row>
    <row r="76" ht="19.8" customHeight="1">
      <c r="A76" s="16" t="inlineStr">
        <is>
          <t>10.8</t>
        </is>
      </c>
      <c r="B76" s="17" t="inlineStr">
        <is>
          <t>10. Conciliación</t>
        </is>
      </c>
      <c r="C76" s="18" t="inlineStr">
        <is>
          <t>Monto promedio de partidas pendientes por conciliar al cierre de mes (COP).</t>
        </is>
      </c>
      <c r="D76" s="19" t="inlineStr">
        <is>
          <t>B</t>
        </is>
      </c>
      <c r="E76" s="18" t="inlineStr">
        <is>
          <t>Finanzas</t>
        </is>
      </c>
      <c r="F76" s="18" t="inlineStr">
        <is>
          <t>Conciliación</t>
        </is>
      </c>
      <c r="G76" s="20" t="inlineStr">
        <is>
          <t>No</t>
        </is>
      </c>
      <c r="H76" s="21" t="inlineStr"/>
      <c r="I76" s="22" t="inlineStr">
        <is>
          <t>Pendiente</t>
        </is>
      </c>
      <c r="J76" s="23" t="n"/>
    </row>
    <row r="77" ht="19.8" customHeight="1">
      <c r="A77" s="16" t="inlineStr">
        <is>
          <t>10.9</t>
        </is>
      </c>
      <c r="B77" s="17" t="inlineStr">
        <is>
          <t>10. Conciliación</t>
        </is>
      </c>
      <c r="C77" s="18" t="inlineStr">
        <is>
          <t>Número de cuentas bancarias donde reciben el recaudo digital.</t>
        </is>
      </c>
      <c r="D77" s="19" t="inlineStr">
        <is>
          <t>B</t>
        </is>
      </c>
      <c r="E77" s="18" t="inlineStr">
        <is>
          <t>Finanzas</t>
        </is>
      </c>
      <c r="F77" s="18" t="inlineStr">
        <is>
          <t>Conciliación</t>
        </is>
      </c>
      <c r="G77" s="20" t="inlineStr">
        <is>
          <t>No</t>
        </is>
      </c>
      <c r="H77" s="21" t="inlineStr"/>
      <c r="I77" s="22" t="inlineStr">
        <is>
          <t>Pendiente</t>
        </is>
      </c>
      <c r="J77" s="23" t="n"/>
    </row>
    <row r="78" ht="33.59999999999999" customHeight="1">
      <c r="A78" s="16" t="inlineStr">
        <is>
          <t>10.10</t>
        </is>
      </c>
      <c r="B78" s="17" t="inlineStr">
        <is>
          <t>10. Conciliación</t>
        </is>
      </c>
      <c r="C78" s="18" t="inlineStr">
        <is>
          <t>Nivel de detalle que necesitan: por transacción, por liquidación, por tienda o por canal.</t>
        </is>
      </c>
      <c r="D78" s="19" t="inlineStr">
        <is>
          <t>B</t>
        </is>
      </c>
      <c r="E78" s="18" t="inlineStr">
        <is>
          <t>Finanzas</t>
        </is>
      </c>
      <c r="F78" s="18" t="inlineStr">
        <is>
          <t>Conciliación</t>
        </is>
      </c>
      <c r="G78" s="20" t="inlineStr">
        <is>
          <t>No</t>
        </is>
      </c>
      <c r="H78" s="21" t="inlineStr"/>
      <c r="I78" s="22" t="inlineStr">
        <is>
          <t>Pendiente</t>
        </is>
      </c>
      <c r="J78" s="23" t="n"/>
    </row>
    <row r="79" ht="19.8" customHeight="1">
      <c r="A79" s="16" t="inlineStr">
        <is>
          <t>10.11</t>
        </is>
      </c>
      <c r="B79" s="17" t="inlineStr">
        <is>
          <t>10. Conciliación</t>
        </is>
      </c>
      <c r="C79" s="18" t="inlineStr">
        <is>
          <t>Formato de archivo que requiere su sistema contable para cargar el recaudo.</t>
        </is>
      </c>
      <c r="D79" s="19" t="inlineStr">
        <is>
          <t>B</t>
        </is>
      </c>
      <c r="E79" s="18" t="inlineStr">
        <is>
          <t>Finanzas y TI</t>
        </is>
      </c>
      <c r="F79" s="18" t="inlineStr">
        <is>
          <t>Conciliación</t>
        </is>
      </c>
      <c r="G79" s="20" t="inlineStr">
        <is>
          <t>No</t>
        </is>
      </c>
      <c r="H79" s="21" t="inlineStr"/>
      <c r="I79" s="22" t="inlineStr">
        <is>
          <t>Pendiente</t>
        </is>
      </c>
      <c r="J79" s="23" t="n"/>
    </row>
    <row r="80" ht="33.59999999999999" customHeight="1">
      <c r="A80" s="16" t="inlineStr">
        <is>
          <t>10.12</t>
        </is>
      </c>
      <c r="B80" s="17" t="inlineStr">
        <is>
          <t>10. Conciliación</t>
        </is>
      </c>
      <c r="C80" s="18" t="inlineStr">
        <is>
          <t>Documento de soporte: un ejemplo del reporte de liquidación de Mercado Pago que usan hoy. Puede ser de un solo día.</t>
        </is>
      </c>
      <c r="D80" s="19" t="inlineStr">
        <is>
          <t>B</t>
        </is>
      </c>
      <c r="E80" s="18" t="inlineStr">
        <is>
          <t>Finanzas</t>
        </is>
      </c>
      <c r="F80" s="18" t="inlineStr">
        <is>
          <t>Conciliación</t>
        </is>
      </c>
      <c r="G80" s="20" t="inlineStr">
        <is>
          <t>No</t>
        </is>
      </c>
      <c r="H80" s="21" t="inlineStr"/>
      <c r="I80" s="22" t="inlineStr">
        <is>
          <t>Pendiente</t>
        </is>
      </c>
      <c r="J80" s="23" t="n"/>
    </row>
    <row r="81" ht="47.4" customHeight="1">
      <c r="A81" s="16" t="inlineStr">
        <is>
          <t>10.13</t>
        </is>
      </c>
      <c r="B81" s="17" t="inlineStr">
        <is>
          <t>10. Conciliación</t>
        </is>
      </c>
      <c r="C81" s="18" t="inlineStr">
        <is>
          <t>Horas al mes dedicadas a la conciliación de pagos digitales. Opcional: solo sirve para dimensionar el alcance y no entra a la sección de ahorros del business case.</t>
        </is>
      </c>
      <c r="D81" s="19" t="inlineStr">
        <is>
          <t>C</t>
        </is>
      </c>
      <c r="E81" s="18" t="inlineStr">
        <is>
          <t>Finanzas</t>
        </is>
      </c>
      <c r="F81" s="18" t="inlineStr">
        <is>
          <t>Conciliación</t>
        </is>
      </c>
      <c r="G81" s="20" t="inlineStr">
        <is>
          <t>No</t>
        </is>
      </c>
      <c r="H81" s="21" t="inlineStr"/>
      <c r="I81" s="22" t="inlineStr">
        <is>
          <t>Pendiente</t>
        </is>
      </c>
      <c r="J81" s="23" t="n"/>
    </row>
    <row r="82" ht="33.59999999999999" customHeight="1">
      <c r="A82" s="16" t="inlineStr">
        <is>
          <t>11.1</t>
        </is>
      </c>
      <c r="B82" s="17" t="inlineStr">
        <is>
          <t>11. Checkout</t>
        </is>
      </c>
      <c r="C82" s="18" t="inlineStr">
        <is>
          <t>Embudo de checkout</t>
        </is>
      </c>
      <c r="D82" s="19" t="inlineStr">
        <is>
          <t>B</t>
        </is>
      </c>
      <c r="E82" s="18" t="inlineStr">
        <is>
          <t>Ecommerce</t>
        </is>
      </c>
      <c r="F82" s="18" t="inlineStr">
        <is>
          <t>Nuevos medios de pago: dónde se pierde el cliente antes de pagar</t>
        </is>
      </c>
      <c r="G82" s="20" t="inlineStr">
        <is>
          <t>No</t>
        </is>
      </c>
      <c r="H82" s="21" t="inlineStr"/>
      <c r="I82" s="22" t="inlineStr">
        <is>
          <t>Pendiente</t>
        </is>
      </c>
      <c r="J82" s="23" t="n"/>
    </row>
    <row r="83" ht="19.8" customHeight="1">
      <c r="A83" s="16" t="inlineStr">
        <is>
          <t>11.2</t>
        </is>
      </c>
      <c r="B83" s="17" t="inlineStr">
        <is>
          <t>11. Checkout</t>
        </is>
      </c>
      <c r="C83" s="18" t="inlineStr">
        <is>
          <t>Plataforma de ecommerce: desarrollo propio u otra (indicar cuál).</t>
        </is>
      </c>
      <c r="D83" s="19" t="inlineStr">
        <is>
          <t>A</t>
        </is>
      </c>
      <c r="E83" s="18" t="inlineStr">
        <is>
          <t>TI</t>
        </is>
      </c>
      <c r="F83" s="18" t="inlineStr">
        <is>
          <t>Alcance de la integración</t>
        </is>
      </c>
      <c r="G83" s="20" t="inlineStr">
        <is>
          <t>No</t>
        </is>
      </c>
      <c r="H83" s="21" t="inlineStr"/>
      <c r="I83" s="22" t="inlineStr">
        <is>
          <t>Pendiente</t>
        </is>
      </c>
      <c r="J83" s="23" t="n"/>
    </row>
    <row r="84" ht="33.59999999999999" customHeight="1">
      <c r="A84" s="16" t="inlineStr">
        <is>
          <t>11.3</t>
        </is>
      </c>
      <c r="B84" s="17" t="inlineStr">
        <is>
          <t>11. Checkout</t>
        </is>
      </c>
      <c r="C84" s="18" t="inlineStr">
        <is>
          <t>Tipo de integración con Mercado Pago: checkout con redirección, checkout integrado por API o links de pago.</t>
        </is>
      </c>
      <c r="D84" s="19" t="inlineStr">
        <is>
          <t>A</t>
        </is>
      </c>
      <c r="E84" s="18" t="inlineStr">
        <is>
          <t>TI</t>
        </is>
      </c>
      <c r="F84" s="18" t="inlineStr">
        <is>
          <t>Alcance de la integración</t>
        </is>
      </c>
      <c r="G84" s="20" t="inlineStr">
        <is>
          <t>No</t>
        </is>
      </c>
      <c r="H84" s="21" t="inlineStr">
        <is>
          <t>Mercado Pago único, incluidos links de pago (llamada del 21 de mayo).</t>
        </is>
      </c>
      <c r="I84" s="22" t="inlineStr">
        <is>
          <t>Pendiente</t>
        </is>
      </c>
      <c r="J84" s="23" t="n"/>
    </row>
    <row r="85" ht="19.8" customHeight="1">
      <c r="A85" s="16" t="inlineStr">
        <is>
          <t>11.4</t>
        </is>
      </c>
      <c r="B85" s="17" t="inlineStr">
        <is>
          <t>11. Checkout</t>
        </is>
      </c>
      <c r="C85" s="18" t="inlineStr">
        <is>
          <t>¿El cliente sale del sitio o de la app para completar el pago?</t>
        </is>
      </c>
      <c r="D85" s="19" t="inlineStr">
        <is>
          <t>B</t>
        </is>
      </c>
      <c r="E85" s="18" t="inlineStr">
        <is>
          <t>TI</t>
        </is>
      </c>
      <c r="F85" s="18" t="inlineStr">
        <is>
          <t>Aprobación</t>
        </is>
      </c>
      <c r="G85" s="20" t="inlineStr">
        <is>
          <t>No</t>
        </is>
      </c>
      <c r="H85" s="21" t="inlineStr"/>
      <c r="I85" s="22" t="inlineStr">
        <is>
          <t>Pendiente</t>
        </is>
      </c>
      <c r="J85" s="23" t="n"/>
    </row>
    <row r="86" ht="19.8" customHeight="1">
      <c r="A86" s="16" t="inlineStr">
        <is>
          <t>11.5</t>
        </is>
      </c>
      <c r="B86" s="17" t="inlineStr">
        <is>
          <t>11. Checkout</t>
        </is>
      </c>
      <c r="C86" s="18" t="inlineStr">
        <is>
          <t>Participación de las ventas por dispositivo: iOS, Android y computador (%).</t>
        </is>
      </c>
      <c r="D86" s="19" t="inlineStr">
        <is>
          <t>A</t>
        </is>
      </c>
      <c r="E86" s="18" t="inlineStr">
        <is>
          <t>Ecommerce</t>
        </is>
      </c>
      <c r="F86" s="18" t="inlineStr">
        <is>
          <t>Nuevos medios de pago</t>
        </is>
      </c>
      <c r="G86" s="20" t="inlineStr">
        <is>
          <t>Parcial</t>
        </is>
      </c>
      <c r="H86" s="21" t="inlineStr"/>
      <c r="I86" s="22" t="inlineStr">
        <is>
          <t>Pendiente</t>
        </is>
      </c>
      <c r="J86" s="23" t="n"/>
    </row>
    <row r="87" ht="33.59999999999999" customHeight="1">
      <c r="A87" s="16" t="inlineStr">
        <is>
          <t>11.6</t>
        </is>
      </c>
      <c r="B87" s="17" t="inlineStr">
        <is>
          <t>11. Checkout</t>
        </is>
      </c>
      <c r="C87" s="18" t="inlineStr">
        <is>
          <t>¿Permiten guardar tarjetas? Indicar cuántas tarjetas guardadas activas tienen.</t>
        </is>
      </c>
      <c r="D87" s="19" t="inlineStr">
        <is>
          <t>B</t>
        </is>
      </c>
      <c r="E87" s="18" t="inlineStr">
        <is>
          <t>TI</t>
        </is>
      </c>
      <c r="F87" s="18" t="inlineStr">
        <is>
          <t>Aprobación</t>
        </is>
      </c>
      <c r="G87" s="20" t="inlineStr">
        <is>
          <t>No</t>
        </is>
      </c>
      <c r="H87" s="21" t="inlineStr"/>
      <c r="I87" s="22" t="inlineStr">
        <is>
          <t>Pendiente</t>
        </is>
      </c>
      <c r="J87" s="23" t="n"/>
    </row>
    <row r="88" ht="33.59999999999999" customHeight="1">
      <c r="A88" s="16" t="inlineStr">
        <is>
          <t>11.7</t>
        </is>
      </c>
      <c r="B88" s="17" t="inlineStr">
        <is>
          <t>11. Checkout</t>
        </is>
      </c>
      <c r="C88" s="18" t="inlineStr">
        <is>
          <t>Sistemas que consumen la información de pagos: sistema de pedidos, ERP, facturación electrónica.</t>
        </is>
      </c>
      <c r="D88" s="19" t="inlineStr">
        <is>
          <t>B</t>
        </is>
      </c>
      <c r="E88" s="18" t="inlineStr">
        <is>
          <t>TI</t>
        </is>
      </c>
      <c r="F88" s="18" t="inlineStr">
        <is>
          <t>Alcance de la integración</t>
        </is>
      </c>
      <c r="G88" s="20" t="inlineStr">
        <is>
          <t>No</t>
        </is>
      </c>
      <c r="H88" s="21" t="inlineStr"/>
      <c r="I88" s="22" t="inlineStr">
        <is>
          <t>Pendiente</t>
        </is>
      </c>
      <c r="J88" s="23" t="n"/>
    </row>
    <row r="89" ht="19.8" customHeight="1">
      <c r="A89" s="16" t="inlineStr">
        <is>
          <t>11.8</t>
        </is>
      </c>
      <c r="B89" s="17" t="inlineStr">
        <is>
          <t>11. Checkout</t>
        </is>
      </c>
      <c r="C89" s="18" t="inlineStr">
        <is>
          <t>Restricciones o ventanas de congelamiento de TI en los próximos 6 meses.</t>
        </is>
      </c>
      <c r="D89" s="19" t="inlineStr">
        <is>
          <t>B</t>
        </is>
      </c>
      <c r="E89" s="18" t="inlineStr">
        <is>
          <t>TI</t>
        </is>
      </c>
      <c r="F89" s="18" t="inlineStr">
        <is>
          <t>Plan de implementación</t>
        </is>
      </c>
      <c r="G89" s="20" t="inlineStr">
        <is>
          <t>No</t>
        </is>
      </c>
      <c r="H89" s="21" t="inlineStr"/>
      <c r="I89" s="22" t="inlineStr">
        <is>
          <t>Pendiente</t>
        </is>
      </c>
      <c r="J89" s="23" t="n"/>
    </row>
    <row r="90" ht="33.59999999999999" customHeight="1">
      <c r="A90" s="16" t="inlineStr">
        <is>
          <t>12.1</t>
        </is>
      </c>
      <c r="B90" s="17" t="inlineStr">
        <is>
          <t>12. Nuevos medios</t>
        </is>
      </c>
      <c r="C90" s="18" t="inlineStr">
        <is>
          <t>Medios de pago de interés</t>
        </is>
      </c>
      <c r="D90" s="19" t="inlineStr">
        <is>
          <t>A</t>
        </is>
      </c>
      <c r="E90" s="18" t="inlineStr">
        <is>
          <t>Ecommerce</t>
        </is>
      </c>
      <c r="F90" s="18" t="inlineStr">
        <is>
          <t>Nuevos medios de pago: el volumen adicional de cada uno</t>
        </is>
      </c>
      <c r="G90" s="20" t="inlineStr">
        <is>
          <t>No</t>
        </is>
      </c>
      <c r="H90" s="21" t="inlineStr">
        <is>
          <t>Interés en Sistecrédito y en gift cards o créditos Cruz Verde (reunión del 25 de septiembre).</t>
        </is>
      </c>
      <c r="I90" s="22" t="inlineStr">
        <is>
          <t>Pendiente</t>
        </is>
      </c>
      <c r="J90" s="23" t="n"/>
    </row>
    <row r="91" ht="33.59999999999999" customHeight="1">
      <c r="A91" s="16" t="inlineStr">
        <is>
          <t>12.2</t>
        </is>
      </c>
      <c r="B91" s="17" t="inlineStr">
        <is>
          <t>12. Nuevos medios</t>
        </is>
      </c>
      <c r="C91" s="18" t="inlineStr">
        <is>
          <t>Mix de medios de pago en tiendas físicas: efectivo, débito, crédito, billeteras y otros (%). Nos sirve como referencia de la preferencia del cliente.</t>
        </is>
      </c>
      <c r="D91" s="19" t="inlineStr">
        <is>
          <t>B</t>
        </is>
      </c>
      <c r="E91" s="18" t="inlineStr">
        <is>
          <t>Finanzas</t>
        </is>
      </c>
      <c r="F91" s="18" t="inlineStr">
        <is>
          <t>Nuevos medios de pago</t>
        </is>
      </c>
      <c r="G91" s="20" t="inlineStr">
        <is>
          <t>No</t>
        </is>
      </c>
      <c r="H91" s="21" t="inlineStr"/>
      <c r="I91" s="22" t="inlineStr">
        <is>
          <t>Pendiente</t>
        </is>
      </c>
      <c r="J91" s="23" t="n"/>
    </row>
    <row r="92" ht="33.59999999999999" customHeight="1">
      <c r="A92" s="16" t="inlineStr">
        <is>
          <t>12.3</t>
        </is>
      </c>
      <c r="B92" s="17" t="inlineStr">
        <is>
          <t>12. Nuevos medios</t>
        </is>
      </c>
      <c r="C92" s="18" t="inlineStr">
        <is>
          <t>Solicitudes de clientes por medios de pago que hoy no ofrecen: encuestas o casos de servicio al cliente.</t>
        </is>
      </c>
      <c r="D92" s="19" t="inlineStr">
        <is>
          <t>B</t>
        </is>
      </c>
      <c r="E92" s="18" t="inlineStr">
        <is>
          <t>Ecommerce</t>
        </is>
      </c>
      <c r="F92" s="18" t="inlineStr">
        <is>
          <t>Nuevos medios de pago</t>
        </is>
      </c>
      <c r="G92" s="20" t="inlineStr">
        <is>
          <t>No</t>
        </is>
      </c>
      <c r="H92" s="21" t="inlineStr"/>
      <c r="I92" s="22" t="inlineStr">
        <is>
          <t>Pendiente</t>
        </is>
      </c>
      <c r="J92" s="23" t="n"/>
    </row>
    <row r="93" ht="33.59999999999999" customHeight="1">
      <c r="A93" s="16" t="inlineStr">
        <is>
          <t>12.4</t>
        </is>
      </c>
      <c r="B93" s="17" t="inlineStr">
        <is>
          <t>12. Nuevos medios</t>
        </is>
      </c>
      <c r="C93" s="18" t="inlineStr">
        <is>
          <t>Estado de las conversaciones con PayU, Redeban, Movii y Kushki: propuesta recibida, contrato o integración.</t>
        </is>
      </c>
      <c r="D93" s="19" t="inlineStr">
        <is>
          <t>A</t>
        </is>
      </c>
      <c r="E93" s="18" t="inlineStr">
        <is>
          <t>Ecommerce y Finanzas</t>
        </is>
      </c>
      <c r="F93" s="18" t="inlineStr">
        <is>
          <t>Alcance de las conexiones</t>
        </is>
      </c>
      <c r="G93" s="20" t="inlineStr">
        <is>
          <t>No</t>
        </is>
      </c>
      <c r="H93" s="21" t="inlineStr">
        <is>
          <t>Proveedores conversados: PayU, Redeban, Movii y Kushki (reunión del 25 de septiembre).</t>
        </is>
      </c>
      <c r="I93" s="22" t="inlineStr">
        <is>
          <t>Pendiente</t>
        </is>
      </c>
      <c r="J93" s="23" t="n"/>
    </row>
    <row r="94" ht="33.59999999999999" customHeight="1">
      <c r="A94" s="16" t="inlineStr">
        <is>
          <t>12.5</t>
        </is>
      </c>
      <c r="B94" s="17" t="inlineStr">
        <is>
          <t>12. Nuevos medios</t>
        </is>
      </c>
      <c r="C94" s="18" t="inlineStr">
        <is>
          <t>Porcentaje estimado de clientes del canal digital que no tienen tarjeta de crédito.</t>
        </is>
      </c>
      <c r="D94" s="19" t="inlineStr">
        <is>
          <t>C</t>
        </is>
      </c>
      <c r="E94" s="18" t="inlineStr">
        <is>
          <t>Ecommerce</t>
        </is>
      </c>
      <c r="F94" s="18" t="inlineStr">
        <is>
          <t>Nuevos medios de pago</t>
        </is>
      </c>
      <c r="G94" s="20" t="inlineStr">
        <is>
          <t>No</t>
        </is>
      </c>
      <c r="H94" s="21" t="inlineStr"/>
      <c r="I94" s="22" t="inlineStr">
        <is>
          <t>Pendiente</t>
        </is>
      </c>
      <c r="J94" s="23" t="n"/>
    </row>
    <row r="95" ht="33.59999999999999" customHeight="1">
      <c r="A95" s="16" t="inlineStr">
        <is>
          <t>12.6</t>
        </is>
      </c>
      <c r="B95" s="17" t="inlineStr">
        <is>
          <t>12. Nuevos medios</t>
        </is>
      </c>
      <c r="C95" s="18" t="inlineStr">
        <is>
          <t>Clientes con compras recurrentes del mismo producto: cuántos son y con qué frecuencia compran.</t>
        </is>
      </c>
      <c r="D95" s="19" t="inlineStr">
        <is>
          <t>C</t>
        </is>
      </c>
      <c r="E95" s="18" t="inlineStr">
        <is>
          <t>Ecommerce</t>
        </is>
      </c>
      <c r="F95" s="18" t="inlineStr">
        <is>
          <t>Suscripciones a futuro</t>
        </is>
      </c>
      <c r="G95" s="20" t="inlineStr">
        <is>
          <t>Parcial</t>
        </is>
      </c>
      <c r="H95" s="21" t="inlineStr">
        <is>
          <t>Motor de suscripciones como interés a futuro (reunión del 25 de septiembre).</t>
        </is>
      </c>
      <c r="I95" s="22" t="inlineStr">
        <is>
          <t>Pendiente</t>
        </is>
      </c>
      <c r="J95" s="23" t="n"/>
    </row>
    <row r="96" ht="19.8" customHeight="1">
      <c r="A96" s="16" t="inlineStr">
        <is>
          <t>12.7</t>
        </is>
      </c>
      <c r="B96" s="17" t="inlineStr">
        <is>
          <t>12. Nuevos medios</t>
        </is>
      </c>
      <c r="C96" s="18" t="inlineStr">
        <is>
          <t>Otros proyectos de pagos previstos para 2027.</t>
        </is>
      </c>
      <c r="D96" s="19" t="inlineStr">
        <is>
          <t>C</t>
        </is>
      </c>
      <c r="E96" s="18" t="inlineStr">
        <is>
          <t>Ecommerce y TI</t>
        </is>
      </c>
      <c r="F96" s="18" t="inlineStr">
        <is>
          <t>Plan de implementación</t>
        </is>
      </c>
      <c r="G96" s="20" t="inlineStr">
        <is>
          <t>No</t>
        </is>
      </c>
      <c r="H96" s="21" t="inlineStr"/>
      <c r="I96" s="22" t="inlineStr">
        <is>
          <t>Pendiente</t>
        </is>
      </c>
      <c r="J96" s="23" t="n"/>
    </row>
  </sheetData>
  <autoFilter ref="A6:J96"/>
  <mergeCells count="3">
    <mergeCell ref="A1:J1"/>
    <mergeCell ref="A4:J4"/>
    <mergeCell ref="A2:J2"/>
  </mergeCells>
  <dataValidations count="1">
    <dataValidation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showDropDown="0" showInputMessage="0" showErrorMessage="0" allowBlank="1" type="list">
      <formula1>"Pendiente,Enviado,Parcial,No disponible"</formula1>
    </dataValidation>
  </dataValidations>
  <hyperlinks>
    <hyperlink xmlns:r="http://schemas.openxmlformats.org/officeDocument/2006/relationships" ref="B7"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1" r:id="rId5"/>
    <hyperlink xmlns:r="http://schemas.openxmlformats.org/officeDocument/2006/relationships" ref="B12" r:id="rId6"/>
    <hyperlink xmlns:r="http://schemas.openxmlformats.org/officeDocument/2006/relationships" ref="B13" r:id="rId7"/>
    <hyperlink xmlns:r="http://schemas.openxmlformats.org/officeDocument/2006/relationships" ref="B14" r:id="rId8"/>
    <hyperlink xmlns:r="http://schemas.openxmlformats.org/officeDocument/2006/relationships" ref="B15" r:id="rId9"/>
    <hyperlink xmlns:r="http://schemas.openxmlformats.org/officeDocument/2006/relationships" ref="B16" r:id="rId10"/>
    <hyperlink xmlns:r="http://schemas.openxmlformats.org/officeDocument/2006/relationships" ref="B17" r:id="rId11"/>
    <hyperlink xmlns:r="http://schemas.openxmlformats.org/officeDocument/2006/relationships" ref="B18" r:id="rId12"/>
    <hyperlink xmlns:r="http://schemas.openxmlformats.org/officeDocument/2006/relationships" ref="B19" r:id="rId13"/>
    <hyperlink xmlns:r="http://schemas.openxmlformats.org/officeDocument/2006/relationships" ref="B20" r:id="rId14"/>
    <hyperlink xmlns:r="http://schemas.openxmlformats.org/officeDocument/2006/relationships" ref="B21" r:id="rId15"/>
    <hyperlink xmlns:r="http://schemas.openxmlformats.org/officeDocument/2006/relationships" ref="B22" r:id="rId16"/>
    <hyperlink xmlns:r="http://schemas.openxmlformats.org/officeDocument/2006/relationships" ref="B23" r:id="rId17"/>
    <hyperlink xmlns:r="http://schemas.openxmlformats.org/officeDocument/2006/relationships" ref="B24" r:id="rId18"/>
    <hyperlink xmlns:r="http://schemas.openxmlformats.org/officeDocument/2006/relationships" ref="B25" r:id="rId19"/>
    <hyperlink xmlns:r="http://schemas.openxmlformats.org/officeDocument/2006/relationships" ref="B26" r:id="rId20"/>
    <hyperlink xmlns:r="http://schemas.openxmlformats.org/officeDocument/2006/relationships" ref="B27" r:id="rId21"/>
    <hyperlink xmlns:r="http://schemas.openxmlformats.org/officeDocument/2006/relationships" ref="B28" r:id="rId22"/>
    <hyperlink xmlns:r="http://schemas.openxmlformats.org/officeDocument/2006/relationships" ref="B29" r:id="rId23"/>
    <hyperlink xmlns:r="http://schemas.openxmlformats.org/officeDocument/2006/relationships" ref="B30" r:id="rId24"/>
    <hyperlink xmlns:r="http://schemas.openxmlformats.org/officeDocument/2006/relationships" ref="B31" r:id="rId25"/>
    <hyperlink xmlns:r="http://schemas.openxmlformats.org/officeDocument/2006/relationships" ref="B32" r:id="rId26"/>
    <hyperlink xmlns:r="http://schemas.openxmlformats.org/officeDocument/2006/relationships" ref="B33" r:id="rId27"/>
    <hyperlink xmlns:r="http://schemas.openxmlformats.org/officeDocument/2006/relationships" ref="B34" r:id="rId28"/>
    <hyperlink xmlns:r="http://schemas.openxmlformats.org/officeDocument/2006/relationships" ref="B35" r:id="rId29"/>
    <hyperlink xmlns:r="http://schemas.openxmlformats.org/officeDocument/2006/relationships" ref="B36" r:id="rId30"/>
    <hyperlink xmlns:r="http://schemas.openxmlformats.org/officeDocument/2006/relationships" ref="B37" r:id="rId31"/>
    <hyperlink xmlns:r="http://schemas.openxmlformats.org/officeDocument/2006/relationships" ref="B38" r:id="rId32"/>
    <hyperlink xmlns:r="http://schemas.openxmlformats.org/officeDocument/2006/relationships" ref="B39" r:id="rId33"/>
    <hyperlink xmlns:r="http://schemas.openxmlformats.org/officeDocument/2006/relationships" ref="B40" r:id="rId34"/>
    <hyperlink xmlns:r="http://schemas.openxmlformats.org/officeDocument/2006/relationships" ref="B41" r:id="rId35"/>
    <hyperlink xmlns:r="http://schemas.openxmlformats.org/officeDocument/2006/relationships" ref="B42" r:id="rId36"/>
    <hyperlink xmlns:r="http://schemas.openxmlformats.org/officeDocument/2006/relationships" ref="B43" r:id="rId37"/>
    <hyperlink xmlns:r="http://schemas.openxmlformats.org/officeDocument/2006/relationships" ref="B44" r:id="rId38"/>
    <hyperlink xmlns:r="http://schemas.openxmlformats.org/officeDocument/2006/relationships" ref="B45" r:id="rId39"/>
    <hyperlink xmlns:r="http://schemas.openxmlformats.org/officeDocument/2006/relationships" ref="B46" r:id="rId40"/>
    <hyperlink xmlns:r="http://schemas.openxmlformats.org/officeDocument/2006/relationships" ref="B47" r:id="rId41"/>
    <hyperlink xmlns:r="http://schemas.openxmlformats.org/officeDocument/2006/relationships" ref="B48" r:id="rId42"/>
    <hyperlink xmlns:r="http://schemas.openxmlformats.org/officeDocument/2006/relationships" ref="B49" r:id="rId43"/>
    <hyperlink xmlns:r="http://schemas.openxmlformats.org/officeDocument/2006/relationships" ref="B50" r:id="rId44"/>
    <hyperlink xmlns:r="http://schemas.openxmlformats.org/officeDocument/2006/relationships" ref="B51" r:id="rId45"/>
    <hyperlink xmlns:r="http://schemas.openxmlformats.org/officeDocument/2006/relationships" ref="B52" r:id="rId46"/>
    <hyperlink xmlns:r="http://schemas.openxmlformats.org/officeDocument/2006/relationships" ref="B53" r:id="rId47"/>
    <hyperlink xmlns:r="http://schemas.openxmlformats.org/officeDocument/2006/relationships" ref="B54" r:id="rId48"/>
    <hyperlink xmlns:r="http://schemas.openxmlformats.org/officeDocument/2006/relationships" ref="B55" r:id="rId49"/>
    <hyperlink xmlns:r="http://schemas.openxmlformats.org/officeDocument/2006/relationships" ref="B56" r:id="rId50"/>
    <hyperlink xmlns:r="http://schemas.openxmlformats.org/officeDocument/2006/relationships" ref="B57" r:id="rId51"/>
    <hyperlink xmlns:r="http://schemas.openxmlformats.org/officeDocument/2006/relationships" ref="B58" r:id="rId52"/>
    <hyperlink xmlns:r="http://schemas.openxmlformats.org/officeDocument/2006/relationships" ref="B59" r:id="rId53"/>
    <hyperlink xmlns:r="http://schemas.openxmlformats.org/officeDocument/2006/relationships" ref="B60" r:id="rId54"/>
    <hyperlink xmlns:r="http://schemas.openxmlformats.org/officeDocument/2006/relationships" ref="B61" r:id="rId55"/>
    <hyperlink xmlns:r="http://schemas.openxmlformats.org/officeDocument/2006/relationships" ref="B62" r:id="rId56"/>
    <hyperlink xmlns:r="http://schemas.openxmlformats.org/officeDocument/2006/relationships" ref="B63" r:id="rId57"/>
    <hyperlink xmlns:r="http://schemas.openxmlformats.org/officeDocument/2006/relationships" ref="B64" r:id="rId58"/>
    <hyperlink xmlns:r="http://schemas.openxmlformats.org/officeDocument/2006/relationships" ref="B65" r:id="rId59"/>
    <hyperlink xmlns:r="http://schemas.openxmlformats.org/officeDocument/2006/relationships" ref="B66" r:id="rId60"/>
    <hyperlink xmlns:r="http://schemas.openxmlformats.org/officeDocument/2006/relationships" ref="B67" r:id="rId61"/>
    <hyperlink xmlns:r="http://schemas.openxmlformats.org/officeDocument/2006/relationships" ref="B68" r:id="rId62"/>
    <hyperlink xmlns:r="http://schemas.openxmlformats.org/officeDocument/2006/relationships" ref="B69" r:id="rId63"/>
    <hyperlink xmlns:r="http://schemas.openxmlformats.org/officeDocument/2006/relationships" ref="B70" r:id="rId64"/>
    <hyperlink xmlns:r="http://schemas.openxmlformats.org/officeDocument/2006/relationships" ref="B71" r:id="rId65"/>
    <hyperlink xmlns:r="http://schemas.openxmlformats.org/officeDocument/2006/relationships" ref="B72" r:id="rId66"/>
    <hyperlink xmlns:r="http://schemas.openxmlformats.org/officeDocument/2006/relationships" ref="B73" r:id="rId67"/>
    <hyperlink xmlns:r="http://schemas.openxmlformats.org/officeDocument/2006/relationships" ref="B74" r:id="rId68"/>
    <hyperlink xmlns:r="http://schemas.openxmlformats.org/officeDocument/2006/relationships" ref="B75" r:id="rId69"/>
    <hyperlink xmlns:r="http://schemas.openxmlformats.org/officeDocument/2006/relationships" ref="B76" r:id="rId70"/>
    <hyperlink xmlns:r="http://schemas.openxmlformats.org/officeDocument/2006/relationships" ref="B77" r:id="rId71"/>
    <hyperlink xmlns:r="http://schemas.openxmlformats.org/officeDocument/2006/relationships" ref="B78" r:id="rId72"/>
    <hyperlink xmlns:r="http://schemas.openxmlformats.org/officeDocument/2006/relationships" ref="B79" r:id="rId73"/>
    <hyperlink xmlns:r="http://schemas.openxmlformats.org/officeDocument/2006/relationships" ref="B80" r:id="rId74"/>
    <hyperlink xmlns:r="http://schemas.openxmlformats.org/officeDocument/2006/relationships" ref="B81" r:id="rId75"/>
    <hyperlink xmlns:r="http://schemas.openxmlformats.org/officeDocument/2006/relationships" ref="B82" r:id="rId76"/>
    <hyperlink xmlns:r="http://schemas.openxmlformats.org/officeDocument/2006/relationships" ref="B83" r:id="rId77"/>
    <hyperlink xmlns:r="http://schemas.openxmlformats.org/officeDocument/2006/relationships" ref="B84" r:id="rId78"/>
    <hyperlink xmlns:r="http://schemas.openxmlformats.org/officeDocument/2006/relationships" ref="B85" r:id="rId79"/>
    <hyperlink xmlns:r="http://schemas.openxmlformats.org/officeDocument/2006/relationships" ref="B86" r:id="rId80"/>
    <hyperlink xmlns:r="http://schemas.openxmlformats.org/officeDocument/2006/relationships" ref="B87" r:id="rId81"/>
    <hyperlink xmlns:r="http://schemas.openxmlformats.org/officeDocument/2006/relationships" ref="B88" r:id="rId82"/>
    <hyperlink xmlns:r="http://schemas.openxmlformats.org/officeDocument/2006/relationships" ref="B89" r:id="rId83"/>
    <hyperlink xmlns:r="http://schemas.openxmlformats.org/officeDocument/2006/relationships" ref="B90" r:id="rId84"/>
    <hyperlink xmlns:r="http://schemas.openxmlformats.org/officeDocument/2006/relationships" ref="B91" r:id="rId85"/>
    <hyperlink xmlns:r="http://schemas.openxmlformats.org/officeDocument/2006/relationships" ref="B92" r:id="rId86"/>
    <hyperlink xmlns:r="http://schemas.openxmlformats.org/officeDocument/2006/relationships" ref="B93" r:id="rId87"/>
    <hyperlink xmlns:r="http://schemas.openxmlformats.org/officeDocument/2006/relationships" ref="B94" r:id="rId88"/>
    <hyperlink xmlns:r="http://schemas.openxmlformats.org/officeDocument/2006/relationships" ref="B95" r:id="rId89"/>
    <hyperlink xmlns:r="http://schemas.openxmlformats.org/officeDocument/2006/relationships" ref="B96" r:id="rId90"/>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3E4FE0"/>
    <outlinePr summaryBelow="1" summaryRight="1"/>
    <pageSetUpPr fitToPage="1"/>
  </sheetPr>
  <dimension ref="A1:H32"/>
  <sheetViews>
    <sheetView showGridLines="0" workbookViewId="0">
      <pane ySplit="2" topLeftCell="A3" activePane="bottomLeft" state="frozen"/>
      <selection pane="bottomLeft" activeCell="A1" sqref="A1"/>
    </sheetView>
  </sheetViews>
  <sheetFormatPr baseColWidth="8" defaultRowHeight="15"/>
  <cols>
    <col width="5" customWidth="1" min="1" max="1"/>
    <col width="36" customWidth="1" min="2" max="2"/>
    <col width="52" customWidth="1" min="3" max="3"/>
    <col width="38" customWidth="1" min="4" max="4"/>
    <col width="28" customWidth="1" min="5" max="5"/>
    <col width="11" customWidth="1" min="6" max="6"/>
    <col width="14" customWidth="1" min="7" max="7"/>
    <col width="36" customWidth="1" min="8" max="8"/>
  </cols>
  <sheetData>
    <row r="1" ht="34" customHeight="1">
      <c r="A1" s="12" t="inlineStr">
        <is>
          <t>1. Export transaccional (Opción A, recomendada)</t>
        </is>
      </c>
      <c r="B1" s="2" t="n"/>
      <c r="C1" s="2" t="n"/>
      <c r="D1" s="2" t="n"/>
      <c r="E1" s="2" t="n"/>
      <c r="F1" s="2" t="n"/>
      <c r="G1" s="2" t="n"/>
      <c r="H1" s="2" t="n"/>
    </row>
    <row r="2" ht="24" customHeight="1">
      <c r="A2" s="24" t="inlineStr">
        <is>
          <t>Una fila por intento de pago. Período: septiembre de 2025 a agosto de 2026. Formato: CSV o Excel.</t>
        </is>
      </c>
      <c r="B2" s="4" t="n"/>
      <c r="C2" s="4" t="n"/>
      <c r="D2" s="4" t="n"/>
      <c r="E2" s="4" t="n"/>
      <c r="F2" s="4" t="n"/>
      <c r="G2" s="4" t="n"/>
      <c r="H2" s="4" t="n"/>
    </row>
    <row r="4" ht="18.42" customHeight="1">
      <c r="A4" s="25" t="inlineStr">
        <is>
          <t>Incluir todos los intentos de pago del canal digital: aprobados, rechazados, pendientes, cancelados y devueltos. Los rechazados son los más importantes para el análisis de aprobación.</t>
        </is>
      </c>
    </row>
    <row r="5" ht="18.42" customHeight="1">
      <c r="A5" s="25" t="inlineStr">
        <is>
          <t>La columna "Campo de referencia en Mercado Pago" usa los nombres de la API de pagos de Mercado Pago como guía. El nombre puede variar según el reporte o la integración que tengan; lo importante es el dato.</t>
        </is>
      </c>
    </row>
    <row r="6" ht="18.42" customHeight="1">
      <c r="A6" s="25" t="inlineStr">
        <is>
          <t>Sin datos personales: no necesitamos nombres, documentos, correos ni números completos de tarjeta.</t>
        </is>
      </c>
    </row>
    <row r="8" ht="32" customHeight="1">
      <c r="A8" s="15" t="inlineStr">
        <is>
          <t>#</t>
        </is>
      </c>
      <c r="B8" s="15" t="inlineStr">
        <is>
          <t>Campo</t>
        </is>
      </c>
      <c r="C8" s="15" t="inlineStr">
        <is>
          <t>Descripción</t>
        </is>
      </c>
      <c r="D8" s="15" t="inlineStr">
        <is>
          <t>Campo de referencia en Mercado Pago</t>
        </is>
      </c>
      <c r="E8" s="15" t="inlineStr">
        <is>
          <t>Ejemplo de formato</t>
        </is>
      </c>
      <c r="F8" s="15" t="inlineStr">
        <is>
          <t>Prioridad</t>
        </is>
      </c>
      <c r="G8" s="15" t="inlineStr">
        <is>
          <t>¿Disponible?</t>
        </is>
      </c>
      <c r="H8" s="15" t="inlineStr">
        <is>
          <t>Comentarios de Cruz Verde</t>
        </is>
      </c>
    </row>
    <row r="9" ht="19.8" customHeight="1">
      <c r="A9" s="26" t="n">
        <v>1</v>
      </c>
      <c r="B9" s="18" t="inlineStr">
        <is>
          <t>Identificador del pago</t>
        </is>
      </c>
      <c r="C9" s="18" t="inlineStr">
        <is>
          <t>Identificador único de cada intento de pago.</t>
        </is>
      </c>
      <c r="D9" s="27" t="inlineStr">
        <is>
          <t>id</t>
        </is>
      </c>
      <c r="E9" s="28" t="inlineStr">
        <is>
          <t>1234567890</t>
        </is>
      </c>
      <c r="F9" s="19" t="inlineStr">
        <is>
          <t>A</t>
        </is>
      </c>
      <c r="G9" s="22" t="n"/>
      <c r="H9" s="23" t="n"/>
    </row>
    <row r="10" ht="33.59999999999999" customHeight="1">
      <c r="A10" s="26" t="n">
        <v>2</v>
      </c>
      <c r="B10" s="18" t="inlineStr">
        <is>
          <t>Identificador de la orden</t>
        </is>
      </c>
      <c r="C10" s="18" t="inlineStr">
        <is>
          <t>Número de la orden en el sistema de Cruz Verde. Permite agrupar los intentos de una misma compra.</t>
        </is>
      </c>
      <c r="D10" s="27" t="inlineStr">
        <is>
          <t>external_reference</t>
        </is>
      </c>
      <c r="E10" s="28" t="inlineStr">
        <is>
          <t>CV-000123</t>
        </is>
      </c>
      <c r="F10" s="19" t="inlineStr">
        <is>
          <t>A</t>
        </is>
      </c>
      <c r="G10" s="22" t="n"/>
      <c r="H10" s="23" t="n"/>
    </row>
    <row r="11" ht="19.8" customHeight="1">
      <c r="A11" s="26" t="n">
        <v>3</v>
      </c>
      <c r="B11" s="18" t="inlineStr">
        <is>
          <t>Fecha y hora de creación</t>
        </is>
      </c>
      <c r="C11" s="18" t="inlineStr">
        <is>
          <t>Momento en que el cliente envió el pago.</t>
        </is>
      </c>
      <c r="D11" s="27" t="inlineStr">
        <is>
          <t>date_created</t>
        </is>
      </c>
      <c r="E11" s="28" t="inlineStr">
        <is>
          <t>2026-08-15 14:32:05</t>
        </is>
      </c>
      <c r="F11" s="19" t="inlineStr">
        <is>
          <t>A</t>
        </is>
      </c>
      <c r="G11" s="22" t="n"/>
      <c r="H11" s="23" t="n"/>
    </row>
    <row r="12" ht="19.8" customHeight="1">
      <c r="A12" s="26" t="n">
        <v>4</v>
      </c>
      <c r="B12" s="18" t="inlineStr">
        <is>
          <t>Fecha y hora de aprobación</t>
        </is>
      </c>
      <c r="C12" s="18" t="inlineStr">
        <is>
          <t>Momento en que el pago quedó aprobado. Vacío si no se aprobó.</t>
        </is>
      </c>
      <c r="D12" s="27" t="inlineStr">
        <is>
          <t>date_approved</t>
        </is>
      </c>
      <c r="E12" s="28" t="inlineStr">
        <is>
          <t>2026-08-15 14:32:09</t>
        </is>
      </c>
      <c r="F12" s="19" t="inlineStr">
        <is>
          <t>B</t>
        </is>
      </c>
      <c r="G12" s="22" t="n"/>
      <c r="H12" s="23" t="n"/>
    </row>
    <row r="13" ht="19.8" customHeight="1">
      <c r="A13" s="26" t="n">
        <v>5</v>
      </c>
      <c r="B13" s="18" t="inlineStr">
        <is>
          <t>Monto de la transacción (COP)</t>
        </is>
      </c>
      <c r="C13" s="18" t="inlineStr">
        <is>
          <t>Valor cobrado al cliente.</t>
        </is>
      </c>
      <c r="D13" s="27" t="inlineStr">
        <is>
          <t>transaction_amount</t>
        </is>
      </c>
      <c r="E13" s="28" t="inlineStr">
        <is>
          <t>45000</t>
        </is>
      </c>
      <c r="F13" s="19" t="inlineStr">
        <is>
          <t>A</t>
        </is>
      </c>
      <c r="G13" s="22" t="n"/>
      <c r="H13" s="23" t="n"/>
    </row>
    <row r="14" ht="19.8" customHeight="1">
      <c r="A14" s="26" t="n">
        <v>6</v>
      </c>
      <c r="B14" s="18" t="inlineStr">
        <is>
          <t>Tipo de medio de pago</t>
        </is>
      </c>
      <c r="C14" s="18" t="inlineStr">
        <is>
          <t>Tarjeta de crédito, tarjeta de débito, PSE, efectivo u otro.</t>
        </is>
      </c>
      <c r="D14" s="27" t="inlineStr">
        <is>
          <t>payment_type_id</t>
        </is>
      </c>
      <c r="E14" s="28" t="inlineStr">
        <is>
          <t>credit_card</t>
        </is>
      </c>
      <c r="F14" s="19" t="inlineStr">
        <is>
          <t>A</t>
        </is>
      </c>
      <c r="G14" s="22" t="n"/>
      <c r="H14" s="23" t="n"/>
    </row>
    <row r="15" ht="19.8" customHeight="1">
      <c r="A15" s="26" t="n">
        <v>7</v>
      </c>
      <c r="B15" s="18" t="inlineStr">
        <is>
          <t>Medio o marca</t>
        </is>
      </c>
      <c r="C15" s="18" t="inlineStr">
        <is>
          <t>Marca de la tarjeta o medio específico.</t>
        </is>
      </c>
      <c r="D15" s="27" t="inlineStr">
        <is>
          <t>payment_method_id</t>
        </is>
      </c>
      <c r="E15" s="28" t="inlineStr">
        <is>
          <t>visa</t>
        </is>
      </c>
      <c r="F15" s="19" t="inlineStr">
        <is>
          <t>A</t>
        </is>
      </c>
      <c r="G15" s="22" t="n"/>
      <c r="H15" s="23" t="n"/>
    </row>
    <row r="16" ht="33.59999999999999" customHeight="1">
      <c r="A16" s="26" t="n">
        <v>8</v>
      </c>
      <c r="B16" s="18" t="inlineStr">
        <is>
          <t>Estado final</t>
        </is>
      </c>
      <c r="C16" s="18" t="inlineStr">
        <is>
          <t>Resultado del intento: aprobado, rechazado, pendiente, cancelado o devuelto.</t>
        </is>
      </c>
      <c r="D16" s="27" t="inlineStr">
        <is>
          <t>status</t>
        </is>
      </c>
      <c r="E16" s="28" t="inlineStr">
        <is>
          <t>rejected</t>
        </is>
      </c>
      <c r="F16" s="19" t="inlineStr">
        <is>
          <t>A</t>
        </is>
      </c>
      <c r="G16" s="22" t="n"/>
      <c r="H16" s="23" t="n"/>
    </row>
    <row r="17" ht="33.59999999999999" customHeight="1">
      <c r="A17" s="26" t="n">
        <v>9</v>
      </c>
      <c r="B17" s="18" t="inlineStr">
        <is>
          <t>Motivo o detalle del estado</t>
        </is>
      </c>
      <c r="C17" s="18" t="inlineStr">
        <is>
          <t>Motivo del rechazo o detalle del estado. Es el campo clave para separar rechazos definitivos y temporales.</t>
        </is>
      </c>
      <c r="D17" s="27" t="inlineStr">
        <is>
          <t>status_detail</t>
        </is>
      </c>
      <c r="E17" s="28" t="inlineStr">
        <is>
          <t>cc_rejected_insufficient_amount</t>
        </is>
      </c>
      <c r="F17" s="19" t="inlineStr">
        <is>
          <t>A</t>
        </is>
      </c>
      <c r="G17" s="22" t="n"/>
      <c r="H17" s="23" t="n"/>
    </row>
    <row r="18" ht="19.8" customHeight="1">
      <c r="A18" s="26" t="n">
        <v>10</v>
      </c>
      <c r="B18" s="18" t="inlineStr">
        <is>
          <t>Código de respuesta del banco emisor</t>
        </is>
      </c>
      <c r="C18" s="18" t="inlineStr">
        <is>
          <t>Código original que devolvió el banco, si el reporte lo trae.</t>
        </is>
      </c>
      <c r="D18" s="27" t="inlineStr">
        <is>
          <t>Dato del reporte, si existe</t>
        </is>
      </c>
      <c r="E18" s="28" t="inlineStr">
        <is>
          <t>51</t>
        </is>
      </c>
      <c r="F18" s="19" t="inlineStr">
        <is>
          <t>B</t>
        </is>
      </c>
      <c r="G18" s="22" t="n"/>
      <c r="H18" s="23" t="n"/>
    </row>
    <row r="19" ht="33.59999999999999" customHeight="1">
      <c r="A19" s="26" t="n">
        <v>11</v>
      </c>
      <c r="B19" s="18" t="inlineStr">
        <is>
          <t>BIN de la tarjeta</t>
        </is>
      </c>
      <c r="C19" s="18" t="inlineStr">
        <is>
          <t>Primeros 6 dígitos de la tarjeta. Identifica banco emisor, marca, tipo y país.</t>
        </is>
      </c>
      <c r="D19" s="27" t="inlineStr">
        <is>
          <t>card.first_six_digits</t>
        </is>
      </c>
      <c r="E19" s="28" t="inlineStr">
        <is>
          <t>450995</t>
        </is>
      </c>
      <c r="F19" s="19" t="inlineStr">
        <is>
          <t>A</t>
        </is>
      </c>
      <c r="G19" s="22" t="n"/>
      <c r="H19" s="23" t="n"/>
    </row>
    <row r="20" ht="19.8" customHeight="1">
      <c r="A20" s="26" t="n">
        <v>12</v>
      </c>
      <c r="B20" s="18" t="inlineStr">
        <is>
          <t>Banco emisor</t>
        </is>
      </c>
      <c r="C20" s="18" t="inlineStr">
        <is>
          <t>Banco que emitió la tarjeta.</t>
        </is>
      </c>
      <c r="D20" s="27" t="inlineStr">
        <is>
          <t>issuer_id</t>
        </is>
      </c>
      <c r="E20" s="28" t="inlineStr">
        <is>
          <t>Código o nombre del banco</t>
        </is>
      </c>
      <c r="F20" s="19" t="inlineStr">
        <is>
          <t>B</t>
        </is>
      </c>
      <c r="G20" s="22" t="n"/>
      <c r="H20" s="23" t="n"/>
    </row>
    <row r="21" ht="19.8" customHeight="1">
      <c r="A21" s="26" t="n">
        <v>13</v>
      </c>
      <c r="B21" s="18" t="inlineStr">
        <is>
          <t>Número de cuotas</t>
        </is>
      </c>
      <c r="C21" s="18" t="inlineStr">
        <is>
          <t>Cuotas elegidas por el cliente.</t>
        </is>
      </c>
      <c r="D21" s="27" t="inlineStr">
        <is>
          <t>installments</t>
        </is>
      </c>
      <c r="E21" s="28" t="inlineStr">
        <is>
          <t>1</t>
        </is>
      </c>
      <c r="F21" s="19" t="inlineStr">
        <is>
          <t>C</t>
        </is>
      </c>
      <c r="G21" s="22" t="n"/>
      <c r="H21" s="23" t="n"/>
    </row>
    <row r="22" ht="19.8" customHeight="1">
      <c r="A22" s="26" t="n">
        <v>14</v>
      </c>
      <c r="B22" s="18" t="inlineStr">
        <is>
          <t>Banco seleccionado en PSE</t>
        </is>
      </c>
      <c r="C22" s="18" t="inlineStr">
        <is>
          <t>Entidad financiera que el cliente eligió para pagar por PSE.</t>
        </is>
      </c>
      <c r="D22" s="27" t="inlineStr">
        <is>
          <t>transaction_details.financial_institution</t>
        </is>
      </c>
      <c r="E22" s="28" t="inlineStr">
        <is>
          <t>Código o nombre del banco</t>
        </is>
      </c>
      <c r="F22" s="19" t="inlineStr">
        <is>
          <t>B</t>
        </is>
      </c>
      <c r="G22" s="22" t="n"/>
      <c r="H22" s="23" t="n"/>
    </row>
    <row r="23" ht="33.59999999999999" customHeight="1">
      <c r="A23" s="26" t="n">
        <v>15</v>
      </c>
      <c r="B23" s="18" t="inlineStr">
        <is>
          <t>Identificador anónimo del cliente</t>
        </is>
      </c>
      <c r="C23" s="18" t="inlineStr">
        <is>
          <t>Código interno del cliente, sin datos personales. Permite medir reintentos y recurrencia.</t>
        </is>
      </c>
      <c r="D23" s="27" t="inlineStr">
        <is>
          <t>payer.id</t>
        </is>
      </c>
      <c r="E23" s="28" t="inlineStr">
        <is>
          <t>987654</t>
        </is>
      </c>
      <c r="F23" s="19" t="inlineStr">
        <is>
          <t>B</t>
        </is>
      </c>
      <c r="G23" s="22" t="n"/>
      <c r="H23" s="23" t="n"/>
    </row>
    <row r="24" ht="19.8" customHeight="1">
      <c r="A24" s="26" t="n">
        <v>16</v>
      </c>
      <c r="B24" s="18" t="inlineStr">
        <is>
          <t>Canal de venta</t>
        </is>
      </c>
      <c r="C24" s="18" t="inlineStr">
        <is>
          <t>Sitio web, app iOS, app Android, link de pago o televentas.</t>
        </is>
      </c>
      <c r="D24" s="27" t="inlineStr">
        <is>
          <t>Dato de Cruz Verde</t>
        </is>
      </c>
      <c r="E24" s="28" t="inlineStr">
        <is>
          <t>App Android</t>
        </is>
      </c>
      <c r="F24" s="19" t="inlineStr">
        <is>
          <t>A</t>
        </is>
      </c>
      <c r="G24" s="22" t="n"/>
      <c r="H24" s="23" t="n"/>
    </row>
    <row r="25" ht="19.8" customHeight="1">
      <c r="A25" s="26" t="n">
        <v>17</v>
      </c>
      <c r="B25" s="18" t="inlineStr">
        <is>
          <t>Tipo de entrega</t>
        </is>
      </c>
      <c r="C25" s="18" t="inlineStr">
        <is>
          <t>Mismo día, día siguiente o recogida en tienda.</t>
        </is>
      </c>
      <c r="D25" s="27" t="inlineStr">
        <is>
          <t>Dato de Cruz Verde</t>
        </is>
      </c>
      <c r="E25" s="28" t="inlineStr">
        <is>
          <t>Mismo día</t>
        </is>
      </c>
      <c r="F25" s="19" t="inlineStr">
        <is>
          <t>B</t>
        </is>
      </c>
      <c r="G25" s="22" t="n"/>
      <c r="H25" s="23" t="n"/>
    </row>
    <row r="26" ht="33.59999999999999" customHeight="1">
      <c r="A26" s="26" t="n">
        <v>18</v>
      </c>
      <c r="B26" s="18" t="inlineStr">
        <is>
          <t>Tarjeta guardada o digitada</t>
        </is>
      </c>
      <c r="C26" s="18" t="inlineStr">
        <is>
          <t>Si el cliente pagó con una tarjeta guardada o la digitó en esa compra.</t>
        </is>
      </c>
      <c r="D26" s="27" t="inlineStr">
        <is>
          <t>Dato de Cruz Verde</t>
        </is>
      </c>
      <c r="E26" s="28" t="inlineStr">
        <is>
          <t>Guardada</t>
        </is>
      </c>
      <c r="F26" s="19" t="inlineStr">
        <is>
          <t>C</t>
        </is>
      </c>
      <c r="G26" s="22" t="n"/>
      <c r="H26" s="23" t="n"/>
    </row>
    <row r="27" ht="19.8" customHeight="1">
      <c r="A27" s="26" t="n">
        <v>19</v>
      </c>
      <c r="B27" s="18" t="inlineStr">
        <is>
          <t>Monto devuelto (COP)</t>
        </is>
      </c>
      <c r="C27" s="18" t="inlineStr">
        <is>
          <t>Valor reintegrado al cliente, total o parcial.</t>
        </is>
      </c>
      <c r="D27" s="27" t="inlineStr">
        <is>
          <t>transaction_amount_refunded</t>
        </is>
      </c>
      <c r="E27" s="28" t="inlineStr">
        <is>
          <t>45000</t>
        </is>
      </c>
      <c r="F27" s="19" t="inlineStr">
        <is>
          <t>A</t>
        </is>
      </c>
      <c r="G27" s="22" t="n"/>
      <c r="H27" s="23" t="n"/>
    </row>
    <row r="28" ht="19.8" customHeight="1">
      <c r="A28" s="26" t="n">
        <v>20</v>
      </c>
      <c r="B28" s="18" t="inlineStr">
        <is>
          <t>Fecha de la devolución</t>
        </is>
      </c>
      <c r="C28" s="18" t="inlineStr">
        <is>
          <t>Fecha en que se ejecutó la devolución.</t>
        </is>
      </c>
      <c r="D28" s="27" t="inlineStr">
        <is>
          <t>Dato del reporte de devoluciones</t>
        </is>
      </c>
      <c r="E28" s="28" t="inlineStr">
        <is>
          <t>2026-08-18</t>
        </is>
      </c>
      <c r="F28" s="19" t="inlineStr">
        <is>
          <t>B</t>
        </is>
      </c>
      <c r="G28" s="22" t="n"/>
      <c r="H28" s="23" t="n"/>
    </row>
    <row r="29" ht="19.8" customHeight="1">
      <c r="A29" s="26" t="n">
        <v>21</v>
      </c>
      <c r="B29" s="18" t="inlineStr">
        <is>
          <t>Contracargo</t>
        </is>
      </c>
      <c r="C29" s="18" t="inlineStr">
        <is>
          <t>Si el pago tuvo una disputa del tarjetahabiente.</t>
        </is>
      </c>
      <c r="D29" s="27" t="inlineStr">
        <is>
          <t>Dato del reporte de contracargos</t>
        </is>
      </c>
      <c r="E29" s="28" t="inlineStr">
        <is>
          <t>No</t>
        </is>
      </c>
      <c r="F29" s="19" t="inlineStr">
        <is>
          <t>B</t>
        </is>
      </c>
      <c r="G29" s="22" t="n"/>
      <c r="H29" s="23" t="n"/>
    </row>
    <row r="30" ht="19.8" customHeight="1">
      <c r="A30" s="26" t="n">
        <v>22</v>
      </c>
      <c r="B30" s="18" t="inlineStr">
        <is>
          <t>Comisión cobrada (COP)</t>
        </is>
      </c>
      <c r="C30" s="18" t="inlineStr">
        <is>
          <t>Comisión que descontó el proveedor en esa transacción.</t>
        </is>
      </c>
      <c r="D30" s="27" t="inlineStr">
        <is>
          <t>fee_details</t>
        </is>
      </c>
      <c r="E30" s="28" t="inlineStr">
        <is>
          <t>1350</t>
        </is>
      </c>
      <c r="F30" s="19" t="inlineStr">
        <is>
          <t>A</t>
        </is>
      </c>
      <c r="G30" s="22" t="n"/>
      <c r="H30" s="23" t="n"/>
    </row>
    <row r="31" ht="19.8" customHeight="1">
      <c r="A31" s="26" t="n">
        <v>23</v>
      </c>
      <c r="B31" s="18" t="inlineStr">
        <is>
          <t>Monto neto recibido (COP)</t>
        </is>
      </c>
      <c r="C31" s="18" t="inlineStr">
        <is>
          <t>Valor que recibió Cruz Verde después de comisiones.</t>
        </is>
      </c>
      <c r="D31" s="27" t="inlineStr">
        <is>
          <t>transaction_details.net_received_amount</t>
        </is>
      </c>
      <c r="E31" s="28" t="inlineStr">
        <is>
          <t>43650</t>
        </is>
      </c>
      <c r="F31" s="19" t="inlineStr">
        <is>
          <t>A</t>
        </is>
      </c>
      <c r="G31" s="22" t="n"/>
      <c r="H31" s="23" t="n"/>
    </row>
    <row r="32" ht="19.8" customHeight="1">
      <c r="A32" s="26" t="n">
        <v>24</v>
      </c>
      <c r="B32" s="18" t="inlineStr">
        <is>
          <t>Fecha de liberación del dinero</t>
        </is>
      </c>
      <c r="C32" s="18" t="inlineStr">
        <is>
          <t>Fecha en que el dinero quedó disponible para Cruz Verde.</t>
        </is>
      </c>
      <c r="D32" s="27" t="inlineStr">
        <is>
          <t>money_release_date</t>
        </is>
      </c>
      <c r="E32" s="28" t="inlineStr">
        <is>
          <t>2026-08-16</t>
        </is>
      </c>
      <c r="F32" s="19" t="inlineStr">
        <is>
          <t>B</t>
        </is>
      </c>
      <c r="G32" s="22" t="n"/>
      <c r="H32" s="23" t="n"/>
    </row>
  </sheetData>
  <mergeCells count="5">
    <mergeCell ref="A1:H1"/>
    <mergeCell ref="A4:H4"/>
    <mergeCell ref="A2:H2"/>
    <mergeCell ref="A5:H5"/>
    <mergeCell ref="A6:H6"/>
  </mergeCells>
  <dataValidations count="1">
    <dataValidation sqref="G9 G10 G11 G12 G13 G14 G15 G16 G17 G18 G19 G20 G21 G22 G23 G24 G25 G26 G27 G28 G29 G30 G31 G32" showDropDown="0" showInputMessage="0" showErrorMessage="0" allowBlank="1" error="Elegir una opción de la lista" type="list">
      <formula1>"Sí,No,Parcial"</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3E4FE0"/>
    <outlinePr summaryBelow="1" summaryRight="1"/>
    <pageSetUpPr fitToPage="1"/>
  </sheetPr>
  <dimension ref="A1:I65"/>
  <sheetViews>
    <sheetView showGridLines="0" workbookViewId="0">
      <pane ySplit="2" topLeftCell="A3" activePane="bottomLeft" state="frozen"/>
      <selection pane="bottomLeft" activeCell="A1" sqref="A1"/>
    </sheetView>
  </sheetViews>
  <sheetFormatPr baseColWidth="8" defaultRowHeight="15"/>
  <cols>
    <col width="6" customWidth="1" min="1" max="1"/>
    <col width="44" customWidth="1" min="2" max="2"/>
    <col width="15" customWidth="1" min="3" max="3"/>
    <col width="15" customWidth="1" min="4" max="4"/>
    <col width="15" customWidth="1" min="5" max="5"/>
    <col width="15" customWidth="1" min="6" max="6"/>
    <col width="15" customWidth="1" min="7" max="7"/>
    <col width="15" customWidth="1" min="8" max="8"/>
    <col width="36" customWidth="1" min="9" max="9"/>
  </cols>
  <sheetData>
    <row r="1" ht="34" customHeight="1">
      <c r="A1" s="12" t="inlineStr">
        <is>
          <t>2. Volumen y ventas del canal digital</t>
        </is>
      </c>
      <c r="B1" s="2" t="n"/>
      <c r="C1" s="2" t="n"/>
      <c r="D1" s="2" t="n"/>
      <c r="E1" s="2" t="n"/>
      <c r="F1" s="2" t="n"/>
      <c r="G1" s="2" t="n"/>
      <c r="H1" s="2" t="n"/>
      <c r="I1" s="2" t="n"/>
    </row>
    <row r="2" ht="24" customHeight="1">
      <c r="A2" s="24" t="inlineStr">
        <is>
          <t>Período: septiembre de 2025 a agosto de 2026. Cifras en COP.</t>
        </is>
      </c>
      <c r="B2" s="4" t="n"/>
      <c r="C2" s="4" t="n"/>
      <c r="D2" s="4" t="n"/>
      <c r="E2" s="4" t="n"/>
      <c r="F2" s="4" t="n"/>
      <c r="G2" s="4" t="n"/>
      <c r="H2" s="4" t="n"/>
      <c r="I2" s="4" t="n"/>
    </row>
    <row r="4" ht="24" customHeight="1">
      <c r="A4" s="7" t="inlineStr">
        <is>
          <t>2.1  Volumen mensual de todos los medios de pago</t>
        </is>
      </c>
      <c r="B4" s="4" t="n"/>
      <c r="C4" s="4" t="n"/>
      <c r="D4" s="4" t="n"/>
      <c r="E4" s="4" t="n"/>
      <c r="F4" s="4" t="n"/>
      <c r="G4" s="4" t="n"/>
      <c r="H4" s="4" t="n"/>
      <c r="I4" s="4" t="n"/>
    </row>
    <row r="5" ht="18.42" customHeight="1">
      <c r="A5" s="25" t="inlineStr">
        <is>
          <t>Prioridad A. Área sugerida: Ecommerce y Finanzas. Lo usamos para: la base del caso y el precio por tiers.</t>
        </is>
      </c>
    </row>
    <row r="6" ht="18.42" customHeight="1">
      <c r="A6" s="25" t="inlineStr">
        <is>
          <t>Dato que tenemos hoy, a confirmar: más de 100.000 transacciones al mes, cerca de 80.000 por Mercado Pago y 20.000 en efectivo (llamada del 21 de mayo).</t>
        </is>
      </c>
    </row>
    <row r="7" ht="33.59999999999999" customHeight="1">
      <c r="B7" s="15" t="inlineStr">
        <is>
          <t>Mes</t>
        </is>
      </c>
      <c r="C7" s="15" t="inlineStr">
        <is>
          <t>Intentos de pago (#)</t>
        </is>
      </c>
      <c r="D7" s="15" t="inlineStr">
        <is>
          <t>Pagos aprobados (#)</t>
        </is>
      </c>
      <c r="E7" s="15" t="inlineStr">
        <is>
          <t>Tasa de aprobación</t>
        </is>
      </c>
      <c r="F7" s="15" t="inlineStr">
        <is>
          <t>Ventas aprobadas (COP)</t>
        </is>
      </c>
      <c r="G7" s="15" t="inlineStr">
        <is>
          <t>Ticket promedio (COP)</t>
        </is>
      </c>
      <c r="H7" s="15" t="inlineStr">
        <is>
          <t>Órdenes únicas (#)</t>
        </is>
      </c>
      <c r="I7" s="15" t="inlineStr">
        <is>
          <t>Clientes únicos que pagaron (#)</t>
        </is>
      </c>
    </row>
    <row r="8" ht="19.8" customHeight="1">
      <c r="A8" s="29" t="inlineStr">
        <is>
          <t>Ej.</t>
        </is>
      </c>
      <c r="B8" s="30" t="inlineStr">
        <is>
          <t>ene-2026</t>
        </is>
      </c>
      <c r="C8" s="31" t="n">
        <v>1000</v>
      </c>
      <c r="D8" s="31" t="n">
        <v>900</v>
      </c>
      <c r="E8" s="32" t="n">
        <v>0.9</v>
      </c>
      <c r="F8" s="31" t="n">
        <v>45000000</v>
      </c>
      <c r="G8" s="31" t="n">
        <v>50000</v>
      </c>
      <c r="H8" s="31" t="n">
        <v>850</v>
      </c>
      <c r="I8" s="31" t="n">
        <v>700</v>
      </c>
    </row>
    <row r="9" ht="19.8" customHeight="1">
      <c r="B9" s="18" t="inlineStr">
        <is>
          <t>sep-2025</t>
        </is>
      </c>
      <c r="C9" s="33" t="n"/>
      <c r="D9" s="33" t="n"/>
      <c r="E9" s="34">
        <f>IF(AND(ISNUMBER(D9),ISNUMBER(C9)),IF(C9&gt;0,D9/C9,""),"")</f>
        <v/>
      </c>
      <c r="F9" s="33" t="n"/>
      <c r="G9" s="35">
        <f>IF(AND(ISNUMBER(F9),ISNUMBER(D9)),IF(D9&gt;0,F9/D9,""),"")</f>
        <v/>
      </c>
      <c r="H9" s="33" t="n"/>
      <c r="I9" s="33" t="n"/>
    </row>
    <row r="10" ht="19.8" customHeight="1">
      <c r="B10" s="18" t="inlineStr">
        <is>
          <t>oct-2025</t>
        </is>
      </c>
      <c r="C10" s="33" t="n"/>
      <c r="D10" s="33" t="n"/>
      <c r="E10" s="34">
        <f>IF(AND(ISNUMBER(D10),ISNUMBER(C10)),IF(C10&gt;0,D10/C10,""),"")</f>
        <v/>
      </c>
      <c r="F10" s="33" t="n"/>
      <c r="G10" s="35">
        <f>IF(AND(ISNUMBER(F10),ISNUMBER(D10)),IF(D10&gt;0,F10/D10,""),"")</f>
        <v/>
      </c>
      <c r="H10" s="33" t="n"/>
      <c r="I10" s="33" t="n"/>
    </row>
    <row r="11" ht="19.8" customHeight="1">
      <c r="B11" s="18" t="inlineStr">
        <is>
          <t>nov-2025</t>
        </is>
      </c>
      <c r="C11" s="33" t="n"/>
      <c r="D11" s="33" t="n"/>
      <c r="E11" s="34">
        <f>IF(AND(ISNUMBER(D11),ISNUMBER(C11)),IF(C11&gt;0,D11/C11,""),"")</f>
        <v/>
      </c>
      <c r="F11" s="33" t="n"/>
      <c r="G11" s="35">
        <f>IF(AND(ISNUMBER(F11),ISNUMBER(D11)),IF(D11&gt;0,F11/D11,""),"")</f>
        <v/>
      </c>
      <c r="H11" s="33" t="n"/>
      <c r="I11" s="33" t="n"/>
    </row>
    <row r="12" ht="19.8" customHeight="1">
      <c r="B12" s="18" t="inlineStr">
        <is>
          <t>dic-2025</t>
        </is>
      </c>
      <c r="C12" s="33" t="n"/>
      <c r="D12" s="33" t="n"/>
      <c r="E12" s="34">
        <f>IF(AND(ISNUMBER(D12),ISNUMBER(C12)),IF(C12&gt;0,D12/C12,""),"")</f>
        <v/>
      </c>
      <c r="F12" s="33" t="n"/>
      <c r="G12" s="35">
        <f>IF(AND(ISNUMBER(F12),ISNUMBER(D12)),IF(D12&gt;0,F12/D12,""),"")</f>
        <v/>
      </c>
      <c r="H12" s="33" t="n"/>
      <c r="I12" s="33" t="n"/>
    </row>
    <row r="13" ht="19.8" customHeight="1">
      <c r="B13" s="18" t="inlineStr">
        <is>
          <t>ene-2026</t>
        </is>
      </c>
      <c r="C13" s="33" t="n"/>
      <c r="D13" s="33" t="n"/>
      <c r="E13" s="34">
        <f>IF(AND(ISNUMBER(D13),ISNUMBER(C13)),IF(C13&gt;0,D13/C13,""),"")</f>
        <v/>
      </c>
      <c r="F13" s="33" t="n"/>
      <c r="G13" s="35">
        <f>IF(AND(ISNUMBER(F13),ISNUMBER(D13)),IF(D13&gt;0,F13/D13,""),"")</f>
        <v/>
      </c>
      <c r="H13" s="33" t="n"/>
      <c r="I13" s="33" t="n"/>
    </row>
    <row r="14" ht="19.8" customHeight="1">
      <c r="B14" s="18" t="inlineStr">
        <is>
          <t>feb-2026</t>
        </is>
      </c>
      <c r="C14" s="33" t="n"/>
      <c r="D14" s="33" t="n"/>
      <c r="E14" s="34">
        <f>IF(AND(ISNUMBER(D14),ISNUMBER(C14)),IF(C14&gt;0,D14/C14,""),"")</f>
        <v/>
      </c>
      <c r="F14" s="33" t="n"/>
      <c r="G14" s="35">
        <f>IF(AND(ISNUMBER(F14),ISNUMBER(D14)),IF(D14&gt;0,F14/D14,""),"")</f>
        <v/>
      </c>
      <c r="H14" s="33" t="n"/>
      <c r="I14" s="33" t="n"/>
    </row>
    <row r="15" ht="19.8" customHeight="1">
      <c r="B15" s="18" t="inlineStr">
        <is>
          <t>mar-2026</t>
        </is>
      </c>
      <c r="C15" s="33" t="n"/>
      <c r="D15" s="33" t="n"/>
      <c r="E15" s="34">
        <f>IF(AND(ISNUMBER(D15),ISNUMBER(C15)),IF(C15&gt;0,D15/C15,""),"")</f>
        <v/>
      </c>
      <c r="F15" s="33" t="n"/>
      <c r="G15" s="35">
        <f>IF(AND(ISNUMBER(F15),ISNUMBER(D15)),IF(D15&gt;0,F15/D15,""),"")</f>
        <v/>
      </c>
      <c r="H15" s="33" t="n"/>
      <c r="I15" s="33" t="n"/>
    </row>
    <row r="16" ht="19.8" customHeight="1">
      <c r="B16" s="18" t="inlineStr">
        <is>
          <t>abr-2026</t>
        </is>
      </c>
      <c r="C16" s="33" t="n"/>
      <c r="D16" s="33" t="n"/>
      <c r="E16" s="34">
        <f>IF(AND(ISNUMBER(D16),ISNUMBER(C16)),IF(C16&gt;0,D16/C16,""),"")</f>
        <v/>
      </c>
      <c r="F16" s="33" t="n"/>
      <c r="G16" s="35">
        <f>IF(AND(ISNUMBER(F16),ISNUMBER(D16)),IF(D16&gt;0,F16/D16,""),"")</f>
        <v/>
      </c>
      <c r="H16" s="33" t="n"/>
      <c r="I16" s="33" t="n"/>
    </row>
    <row r="17" ht="19.8" customHeight="1">
      <c r="B17" s="18" t="inlineStr">
        <is>
          <t>may-2026</t>
        </is>
      </c>
      <c r="C17" s="33" t="n"/>
      <c r="D17" s="33" t="n"/>
      <c r="E17" s="34">
        <f>IF(AND(ISNUMBER(D17),ISNUMBER(C17)),IF(C17&gt;0,D17/C17,""),"")</f>
        <v/>
      </c>
      <c r="F17" s="33" t="n"/>
      <c r="G17" s="35">
        <f>IF(AND(ISNUMBER(F17),ISNUMBER(D17)),IF(D17&gt;0,F17/D17,""),"")</f>
        <v/>
      </c>
      <c r="H17" s="33" t="n"/>
      <c r="I17" s="33" t="n"/>
    </row>
    <row r="18" ht="19.8" customHeight="1">
      <c r="B18" s="18" t="inlineStr">
        <is>
          <t>jun-2026</t>
        </is>
      </c>
      <c r="C18" s="33" t="n"/>
      <c r="D18" s="33" t="n"/>
      <c r="E18" s="34">
        <f>IF(AND(ISNUMBER(D18),ISNUMBER(C18)),IF(C18&gt;0,D18/C18,""),"")</f>
        <v/>
      </c>
      <c r="F18" s="33" t="n"/>
      <c r="G18" s="35">
        <f>IF(AND(ISNUMBER(F18),ISNUMBER(D18)),IF(D18&gt;0,F18/D18,""),"")</f>
        <v/>
      </c>
      <c r="H18" s="33" t="n"/>
      <c r="I18" s="33" t="n"/>
    </row>
    <row r="19" ht="19.8" customHeight="1">
      <c r="B19" s="18" t="inlineStr">
        <is>
          <t>jul-2026</t>
        </is>
      </c>
      <c r="C19" s="33" t="n"/>
      <c r="D19" s="33" t="n"/>
      <c r="E19" s="34">
        <f>IF(AND(ISNUMBER(D19),ISNUMBER(C19)),IF(C19&gt;0,D19/C19,""),"")</f>
        <v/>
      </c>
      <c r="F19" s="33" t="n"/>
      <c r="G19" s="35">
        <f>IF(AND(ISNUMBER(F19),ISNUMBER(D19)),IF(D19&gt;0,F19/D19,""),"")</f>
        <v/>
      </c>
      <c r="H19" s="33" t="n"/>
      <c r="I19" s="33" t="n"/>
    </row>
    <row r="20" ht="19.8" customHeight="1">
      <c r="B20" s="18" t="inlineStr">
        <is>
          <t>ago-2026</t>
        </is>
      </c>
      <c r="C20" s="33" t="n"/>
      <c r="D20" s="33" t="n"/>
      <c r="E20" s="34">
        <f>IF(AND(ISNUMBER(D20),ISNUMBER(C20)),IF(C20&gt;0,D20/C20,""),"")</f>
        <v/>
      </c>
      <c r="F20" s="33" t="n"/>
      <c r="G20" s="35">
        <f>IF(AND(ISNUMBER(F20),ISNUMBER(D20)),IF(D20&gt;0,F20/D20,""),"")</f>
        <v/>
      </c>
      <c r="H20" s="33" t="n"/>
      <c r="I20" s="33" t="n"/>
    </row>
    <row r="21" ht="19.8" customHeight="1">
      <c r="B21" s="36" t="inlineStr">
        <is>
          <t>Total</t>
        </is>
      </c>
      <c r="C21" s="37">
        <f>SUM(C9:C20)</f>
        <v/>
      </c>
      <c r="D21" s="37">
        <f>SUM(D9:D20)</f>
        <v/>
      </c>
      <c r="E21" s="38">
        <f>IF(AND(ISNUMBER(D21),ISNUMBER(C21)),IF(C21&gt;0,D21/C21,""),"")</f>
        <v/>
      </c>
      <c r="F21" s="37">
        <f>SUM(F9:F20)</f>
        <v/>
      </c>
      <c r="G21" s="37">
        <f>IF(AND(ISNUMBER(F21),ISNUMBER(D21)),IF(D21&gt;0,F21/D21,""),"")</f>
        <v/>
      </c>
      <c r="H21" s="37">
        <f>SUM(H9:H20)</f>
        <v/>
      </c>
      <c r="I21" s="37" t="n"/>
    </row>
    <row r="23" ht="24" customHeight="1">
      <c r="A23" s="7" t="inlineStr">
        <is>
          <t>2.2  Volumen por canal, acumulado de los 12 meses</t>
        </is>
      </c>
      <c r="B23" s="4" t="n"/>
      <c r="C23" s="4" t="n"/>
      <c r="D23" s="4" t="n"/>
      <c r="E23" s="4" t="n"/>
      <c r="F23" s="4" t="n"/>
      <c r="G23" s="4" t="n"/>
      <c r="H23" s="4" t="n"/>
      <c r="I23" s="4" t="n"/>
    </row>
    <row r="24" ht="18.42" customHeight="1">
      <c r="A24" s="25" t="inlineStr">
        <is>
          <t>Prioridad A. Área sugerida: Ecommerce. Lo usamos para: aprobación por canal y alcance de la integración.</t>
        </is>
      </c>
    </row>
    <row r="25" ht="33.59999999999999" customHeight="1">
      <c r="B25" s="15" t="inlineStr">
        <is>
          <t>Canal</t>
        </is>
      </c>
      <c r="C25" s="15" t="inlineStr">
        <is>
          <t>Intentos de pago (#)</t>
        </is>
      </c>
      <c r="D25" s="15" t="inlineStr">
        <is>
          <t>Pagos aprobados (#)</t>
        </is>
      </c>
      <c r="E25" s="15" t="inlineStr">
        <is>
          <t>Tasa de aprobación</t>
        </is>
      </c>
      <c r="F25" s="15" t="inlineStr">
        <is>
          <t>Ventas aprobadas (COP)</t>
        </is>
      </c>
      <c r="G25" s="15" t="inlineStr">
        <is>
          <t>Participación en ventas</t>
        </is>
      </c>
      <c r="H25" s="15" t="inlineStr">
        <is>
          <t>Comentarios</t>
        </is>
      </c>
      <c r="I25" s="39" t="n"/>
    </row>
    <row r="26" ht="19.8" customHeight="1">
      <c r="A26" s="29" t="inlineStr">
        <is>
          <t>Ej.</t>
        </is>
      </c>
      <c r="B26" s="30" t="inlineStr">
        <is>
          <t>Sitio web</t>
        </is>
      </c>
      <c r="C26" s="31" t="n">
        <v>1000</v>
      </c>
      <c r="D26" s="31" t="n">
        <v>900</v>
      </c>
      <c r="E26" s="32" t="n">
        <v>0.9</v>
      </c>
      <c r="F26" s="31" t="n">
        <v>45000000</v>
      </c>
      <c r="G26" s="32" t="n">
        <v>0.4</v>
      </c>
      <c r="H26" s="30" t="inlineStr">
        <is>
          <t>Texto libre</t>
        </is>
      </c>
      <c r="I26" s="40" t="n"/>
    </row>
    <row r="27" ht="19.8" customHeight="1">
      <c r="B27" s="18" t="inlineStr">
        <is>
          <t>Sitio web</t>
        </is>
      </c>
      <c r="C27" s="33" t="n"/>
      <c r="D27" s="33" t="n"/>
      <c r="E27" s="34">
        <f>IF(AND(ISNUMBER(D27),ISNUMBER(C27)),IF(C27&gt;0,D27/C27,""),"")</f>
        <v/>
      </c>
      <c r="F27" s="33" t="n"/>
      <c r="G27" s="34">
        <f>IF(ISNUMBER(F27),IF(SUM(F$27:F$32)&gt;0,F27/SUM(F$27:F$32),""),"")</f>
        <v/>
      </c>
      <c r="H27" s="23" t="n"/>
      <c r="I27" s="41" t="n"/>
    </row>
    <row r="28" ht="19.8" customHeight="1">
      <c r="B28" s="18" t="inlineStr">
        <is>
          <t>App iOS</t>
        </is>
      </c>
      <c r="C28" s="33" t="n"/>
      <c r="D28" s="33" t="n"/>
      <c r="E28" s="34">
        <f>IF(AND(ISNUMBER(D28),ISNUMBER(C28)),IF(C28&gt;0,D28/C28,""),"")</f>
        <v/>
      </c>
      <c r="F28" s="33" t="n"/>
      <c r="G28" s="34">
        <f>IF(ISNUMBER(F28),IF(SUM(F$27:F$32)&gt;0,F28/SUM(F$27:F$32),""),"")</f>
        <v/>
      </c>
      <c r="H28" s="23" t="n"/>
      <c r="I28" s="41" t="n"/>
    </row>
    <row r="29" ht="19.8" customHeight="1">
      <c r="B29" s="18" t="inlineStr">
        <is>
          <t>App Android</t>
        </is>
      </c>
      <c r="C29" s="33" t="n"/>
      <c r="D29" s="33" t="n"/>
      <c r="E29" s="34">
        <f>IF(AND(ISNUMBER(D29),ISNUMBER(C29)),IF(C29&gt;0,D29/C29,""),"")</f>
        <v/>
      </c>
      <c r="F29" s="33" t="n"/>
      <c r="G29" s="34">
        <f>IF(ISNUMBER(F29),IF(SUM(F$27:F$32)&gt;0,F29/SUM(F$27:F$32),""),"")</f>
        <v/>
      </c>
      <c r="H29" s="23" t="n"/>
      <c r="I29" s="41" t="n"/>
    </row>
    <row r="30" ht="19.8" customHeight="1">
      <c r="B30" s="18" t="inlineStr">
        <is>
          <t>Link de pago en punto de venta</t>
        </is>
      </c>
      <c r="C30" s="33" t="n"/>
      <c r="D30" s="33" t="n"/>
      <c r="E30" s="34">
        <f>IF(AND(ISNUMBER(D30),ISNUMBER(C30)),IF(C30&gt;0,D30/C30,""),"")</f>
        <v/>
      </c>
      <c r="F30" s="33" t="n"/>
      <c r="G30" s="34">
        <f>IF(ISNUMBER(F30),IF(SUM(F$27:F$32)&gt;0,F30/SUM(F$27:F$32),""),"")</f>
        <v/>
      </c>
      <c r="H30" s="23" t="n"/>
      <c r="I30" s="41" t="n"/>
    </row>
    <row r="31" ht="19.8" customHeight="1">
      <c r="B31" s="18" t="inlineStr">
        <is>
          <t>Televentas o call center</t>
        </is>
      </c>
      <c r="C31" s="33" t="n"/>
      <c r="D31" s="33" t="n"/>
      <c r="E31" s="34">
        <f>IF(AND(ISNUMBER(D31),ISNUMBER(C31)),IF(C31&gt;0,D31/C31,""),"")</f>
        <v/>
      </c>
      <c r="F31" s="33" t="n"/>
      <c r="G31" s="34">
        <f>IF(ISNUMBER(F31),IF(SUM(F$27:F$32)&gt;0,F31/SUM(F$27:F$32),""),"")</f>
        <v/>
      </c>
      <c r="H31" s="23" t="n"/>
      <c r="I31" s="41" t="n"/>
    </row>
    <row r="32" ht="19.8" customHeight="1">
      <c r="B32" s="18" t="inlineStr">
        <is>
          <t>Otro (especificar en comentarios)</t>
        </is>
      </c>
      <c r="C32" s="33" t="n"/>
      <c r="D32" s="33" t="n"/>
      <c r="E32" s="34">
        <f>IF(AND(ISNUMBER(D32),ISNUMBER(C32)),IF(C32&gt;0,D32/C32,""),"")</f>
        <v/>
      </c>
      <c r="F32" s="33" t="n"/>
      <c r="G32" s="34">
        <f>IF(ISNUMBER(F32),IF(SUM(F$27:F$32)&gt;0,F32/SUM(F$27:F$32),""),"")</f>
        <v/>
      </c>
      <c r="H32" s="23" t="n"/>
      <c r="I32" s="41" t="n"/>
    </row>
    <row r="33" ht="19.8" customHeight="1">
      <c r="B33" s="36" t="inlineStr">
        <is>
          <t>Total</t>
        </is>
      </c>
      <c r="C33" s="37">
        <f>SUM(C27:C32)</f>
        <v/>
      </c>
      <c r="D33" s="37">
        <f>SUM(D27:D32)</f>
        <v/>
      </c>
      <c r="E33" s="38">
        <f>IF(AND(ISNUMBER(D33),ISNUMBER(C33)),IF(C33&gt;0,D33/C33,""),"")</f>
        <v/>
      </c>
      <c r="F33" s="37">
        <f>SUM(F27:F32)</f>
        <v/>
      </c>
      <c r="G33" s="38" t="n"/>
      <c r="H33" s="36" t="n"/>
      <c r="I33" s="42" t="n"/>
    </row>
    <row r="35" ht="24" customHeight="1">
      <c r="A35" s="7" t="inlineStr">
        <is>
          <t>2.3  Distribución por rango de ticket, acumulado de los 12 meses</t>
        </is>
      </c>
      <c r="B35" s="4" t="n"/>
      <c r="C35" s="4" t="n"/>
      <c r="D35" s="4" t="n"/>
      <c r="E35" s="4" t="n"/>
      <c r="F35" s="4" t="n"/>
      <c r="G35" s="4" t="n"/>
      <c r="H35" s="4" t="n"/>
      <c r="I35" s="4" t="n"/>
    </row>
    <row r="36" ht="18.42" customHeight="1">
      <c r="A36" s="25" t="inlineStr">
        <is>
          <t>Prioridad A. Área sugerida: Ecommerce y Finanzas. Lo usamos para: el costo por transacción frente al ticket y la aprobación por monto.</t>
        </is>
      </c>
    </row>
    <row r="37" ht="18.42" customHeight="1">
      <c r="A37" s="25" t="inlineStr">
        <is>
          <t>Dato que tenemos hoy, a confirmar: ticket promedio de COP 130.000 y a la baja, con 40% de las transacciones por debajo de COP 30.000 (llamada del 21 de mayo).</t>
        </is>
      </c>
    </row>
    <row r="38" ht="33.59999999999999" customHeight="1">
      <c r="B38" s="15" t="inlineStr">
        <is>
          <t>Rango de ticket (COP)</t>
        </is>
      </c>
      <c r="C38" s="15" t="inlineStr">
        <is>
          <t>Pagos aprobados (#)</t>
        </is>
      </c>
      <c r="D38" s="15" t="inlineStr">
        <is>
          <t>Participación en transacciones</t>
        </is>
      </c>
      <c r="E38" s="15" t="inlineStr">
        <is>
          <t>Ventas aprobadas (COP)</t>
        </is>
      </c>
      <c r="F38" s="15" t="inlineStr">
        <is>
          <t>Intentos con tarjeta (#)</t>
        </is>
      </c>
      <c r="G38" s="15" t="inlineStr">
        <is>
          <t>Aprobados con tarjeta (#)</t>
        </is>
      </c>
      <c r="H38" s="15" t="inlineStr">
        <is>
          <t>Tasa de aprobación en tarjetas</t>
        </is>
      </c>
      <c r="I38" s="15" t="inlineStr">
        <is>
          <t>Comentarios</t>
        </is>
      </c>
    </row>
    <row r="39" ht="19.8" customHeight="1">
      <c r="A39" s="29" t="inlineStr">
        <is>
          <t>Ej.</t>
        </is>
      </c>
      <c r="B39" s="30" t="inlineStr">
        <is>
          <t>Hasta 30.000</t>
        </is>
      </c>
      <c r="C39" s="31" t="n">
        <v>400</v>
      </c>
      <c r="D39" s="32" t="n">
        <v>0.4</v>
      </c>
      <c r="E39" s="31" t="n">
        <v>8000000</v>
      </c>
      <c r="F39" s="31" t="n">
        <v>180</v>
      </c>
      <c r="G39" s="31" t="n">
        <v>160</v>
      </c>
      <c r="H39" s="32" t="n">
        <v>0.889</v>
      </c>
      <c r="I39" s="30" t="inlineStr">
        <is>
          <t>Texto libre</t>
        </is>
      </c>
    </row>
    <row r="40" ht="19.8" customHeight="1">
      <c r="B40" s="18" t="inlineStr">
        <is>
          <t>Hasta 30.000</t>
        </is>
      </c>
      <c r="C40" s="33" t="n"/>
      <c r="D40" s="34">
        <f>IF(ISNUMBER(C40),IF(SUM(C$40:C$45)&gt;0,C40/SUM(C$40:C$45),""),"")</f>
        <v/>
      </c>
      <c r="E40" s="33" t="n"/>
      <c r="F40" s="33" t="n"/>
      <c r="G40" s="33" t="n"/>
      <c r="H40" s="34">
        <f>IF(AND(ISNUMBER(G40),ISNUMBER(F40)),IF(F40&gt;0,G40/F40,""),"")</f>
        <v/>
      </c>
      <c r="I40" s="23" t="n"/>
    </row>
    <row r="41" ht="19.8" customHeight="1">
      <c r="B41" s="18" t="inlineStr">
        <is>
          <t>30.001 a 60.000</t>
        </is>
      </c>
      <c r="C41" s="33" t="n"/>
      <c r="D41" s="34">
        <f>IF(ISNUMBER(C41),IF(SUM(C$40:C$45)&gt;0,C41/SUM(C$40:C$45),""),"")</f>
        <v/>
      </c>
      <c r="E41" s="33" t="n"/>
      <c r="F41" s="33" t="n"/>
      <c r="G41" s="33" t="n"/>
      <c r="H41" s="34">
        <f>IF(AND(ISNUMBER(G41),ISNUMBER(F41)),IF(F41&gt;0,G41/F41,""),"")</f>
        <v/>
      </c>
      <c r="I41" s="23" t="n"/>
    </row>
    <row r="42" ht="19.8" customHeight="1">
      <c r="B42" s="18" t="inlineStr">
        <is>
          <t>60.001 a 100.000</t>
        </is>
      </c>
      <c r="C42" s="33" t="n"/>
      <c r="D42" s="34">
        <f>IF(ISNUMBER(C42),IF(SUM(C$40:C$45)&gt;0,C42/SUM(C$40:C$45),""),"")</f>
        <v/>
      </c>
      <c r="E42" s="33" t="n"/>
      <c r="F42" s="33" t="n"/>
      <c r="G42" s="33" t="n"/>
      <c r="H42" s="34">
        <f>IF(AND(ISNUMBER(G42),ISNUMBER(F42)),IF(F42&gt;0,G42/F42,""),"")</f>
        <v/>
      </c>
      <c r="I42" s="23" t="n"/>
    </row>
    <row r="43" ht="19.8" customHeight="1">
      <c r="B43" s="18" t="inlineStr">
        <is>
          <t>100.001 a 200.000</t>
        </is>
      </c>
      <c r="C43" s="33" t="n"/>
      <c r="D43" s="34">
        <f>IF(ISNUMBER(C43),IF(SUM(C$40:C$45)&gt;0,C43/SUM(C$40:C$45),""),"")</f>
        <v/>
      </c>
      <c r="E43" s="33" t="n"/>
      <c r="F43" s="33" t="n"/>
      <c r="G43" s="33" t="n"/>
      <c r="H43" s="34">
        <f>IF(AND(ISNUMBER(G43),ISNUMBER(F43)),IF(F43&gt;0,G43/F43,""),"")</f>
        <v/>
      </c>
      <c r="I43" s="23" t="n"/>
    </row>
    <row r="44" ht="19.8" customHeight="1">
      <c r="B44" s="18" t="inlineStr">
        <is>
          <t>200.001 a 500.000</t>
        </is>
      </c>
      <c r="C44" s="33" t="n"/>
      <c r="D44" s="34">
        <f>IF(ISNUMBER(C44),IF(SUM(C$40:C$45)&gt;0,C44/SUM(C$40:C$45),""),"")</f>
        <v/>
      </c>
      <c r="E44" s="33" t="n"/>
      <c r="F44" s="33" t="n"/>
      <c r="G44" s="33" t="n"/>
      <c r="H44" s="34">
        <f>IF(AND(ISNUMBER(G44),ISNUMBER(F44)),IF(F44&gt;0,G44/F44,""),"")</f>
        <v/>
      </c>
      <c r="I44" s="23" t="n"/>
    </row>
    <row r="45" ht="19.8" customHeight="1">
      <c r="B45" s="18" t="inlineStr">
        <is>
          <t>Más de 500.000</t>
        </is>
      </c>
      <c r="C45" s="33" t="n"/>
      <c r="D45" s="34">
        <f>IF(ISNUMBER(C45),IF(SUM(C$40:C$45)&gt;0,C45/SUM(C$40:C$45),""),"")</f>
        <v/>
      </c>
      <c r="E45" s="33" t="n"/>
      <c r="F45" s="33" t="n"/>
      <c r="G45" s="33" t="n"/>
      <c r="H45" s="34">
        <f>IF(AND(ISNUMBER(G45),ISNUMBER(F45)),IF(F45&gt;0,G45/F45,""),"")</f>
        <v/>
      </c>
      <c r="I45" s="23" t="n"/>
    </row>
    <row r="46" ht="19.8" customHeight="1">
      <c r="B46" s="36" t="inlineStr">
        <is>
          <t>Total</t>
        </is>
      </c>
      <c r="C46" s="37">
        <f>SUM(C40:C45)</f>
        <v/>
      </c>
      <c r="D46" s="38" t="n"/>
      <c r="E46" s="37">
        <f>SUM(E40:E45)</f>
        <v/>
      </c>
      <c r="F46" s="37">
        <f>SUM(F40:F45)</f>
        <v/>
      </c>
      <c r="G46" s="37">
        <f>SUM(G40:G45)</f>
        <v/>
      </c>
      <c r="H46" s="38">
        <f>IF(AND(ISNUMBER(G46),ISNUMBER(F46)),IF(F46&gt;0,G46/F46,""),"")</f>
        <v/>
      </c>
      <c r="I46" s="36" t="n"/>
    </row>
    <row r="48" ht="24" customHeight="1">
      <c r="A48" s="7" t="inlineStr">
        <is>
          <t>2.4  Órdenes por tipo de entrega, acumulado de los 12 meses</t>
        </is>
      </c>
      <c r="B48" s="4" t="n"/>
      <c r="C48" s="4" t="n"/>
      <c r="D48" s="4" t="n"/>
      <c r="E48" s="4" t="n"/>
      <c r="F48" s="4" t="n"/>
      <c r="G48" s="4" t="n"/>
      <c r="H48" s="4" t="n"/>
      <c r="I48" s="4" t="n"/>
    </row>
    <row r="49" ht="18.42" customHeight="1">
      <c r="A49" s="25" t="inlineStr">
        <is>
          <t>Prioridad B. Área sugerida: Ecommerce. Lo usamos para: el checkout con medios de pago distintos por tipo de entrega.</t>
        </is>
      </c>
    </row>
    <row r="50" ht="18.42" customHeight="1">
      <c r="A50" s="25" t="inlineStr">
        <is>
          <t>Dato que tenemos hoy, a confirmar: interés en un checkout con medios de pago distintos para entrega el mismo día y al día siguiente (reunión del 25 de septiembre).</t>
        </is>
      </c>
    </row>
    <row r="51" ht="47.4" customHeight="1">
      <c r="B51" s="15" t="inlineStr">
        <is>
          <t>Tipo de entrega</t>
        </is>
      </c>
      <c r="C51" s="15" t="inlineStr">
        <is>
          <t>Órdenes pagadas (#)</t>
        </is>
      </c>
      <c r="D51" s="15" t="inlineStr">
        <is>
          <t>Ventas aprobadas (COP)</t>
        </is>
      </c>
      <c r="E51" s="15" t="inlineStr">
        <is>
          <t>Órdenes canceladas después del pago (#)</t>
        </is>
      </c>
      <c r="F51" s="15" t="inlineStr">
        <is>
          <t>Medios de pago habilitados hoy</t>
        </is>
      </c>
      <c r="G51" s="39" t="n"/>
      <c r="H51" s="15" t="inlineStr">
        <is>
          <t>Medios de pago que quisieran habilitar</t>
        </is>
      </c>
      <c r="I51" s="39" t="n"/>
    </row>
    <row r="52" ht="19.8" customHeight="1">
      <c r="A52" s="29" t="inlineStr">
        <is>
          <t>Ej.</t>
        </is>
      </c>
      <c r="B52" s="30" t="inlineStr">
        <is>
          <t>Mismo día</t>
        </is>
      </c>
      <c r="C52" s="31" t="n">
        <v>500</v>
      </c>
      <c r="D52" s="31" t="n">
        <v>25000000</v>
      </c>
      <c r="E52" s="31" t="n">
        <v>20</v>
      </c>
      <c r="F52" s="30" t="inlineStr">
        <is>
          <t>PSE y tarjetas</t>
        </is>
      </c>
      <c r="G52" s="40" t="n"/>
      <c r="H52" s="30" t="inlineStr">
        <is>
          <t>PSE, tarjetas y billeteras</t>
        </is>
      </c>
      <c r="I52" s="40" t="n"/>
    </row>
    <row r="53" ht="19.8" customHeight="1">
      <c r="B53" s="18" t="inlineStr">
        <is>
          <t>Mismo día</t>
        </is>
      </c>
      <c r="C53" s="33" t="n"/>
      <c r="D53" s="33" t="n"/>
      <c r="E53" s="33" t="n"/>
      <c r="F53" s="23" t="n"/>
      <c r="G53" s="41" t="n"/>
      <c r="H53" s="23" t="n"/>
      <c r="I53" s="41" t="n"/>
    </row>
    <row r="54" ht="19.8" customHeight="1">
      <c r="B54" s="18" t="inlineStr">
        <is>
          <t>Día siguiente</t>
        </is>
      </c>
      <c r="C54" s="33" t="n"/>
      <c r="D54" s="33" t="n"/>
      <c r="E54" s="33" t="n"/>
      <c r="F54" s="23" t="n"/>
      <c r="G54" s="41" t="n"/>
      <c r="H54" s="23" t="n"/>
      <c r="I54" s="41" t="n"/>
    </row>
    <row r="55" ht="19.8" customHeight="1">
      <c r="B55" s="18" t="inlineStr">
        <is>
          <t>Recogida en tienda</t>
        </is>
      </c>
      <c r="C55" s="33" t="n"/>
      <c r="D55" s="33" t="n"/>
      <c r="E55" s="33" t="n"/>
      <c r="F55" s="23" t="n"/>
      <c r="G55" s="41" t="n"/>
      <c r="H55" s="23" t="n"/>
      <c r="I55" s="41" t="n"/>
    </row>
    <row r="56" ht="19.8" customHeight="1">
      <c r="B56" s="18" t="inlineStr">
        <is>
          <t>Otro (especificar)</t>
        </is>
      </c>
      <c r="C56" s="33" t="n"/>
      <c r="D56" s="33" t="n"/>
      <c r="E56" s="33" t="n"/>
      <c r="F56" s="23" t="n"/>
      <c r="G56" s="41" t="n"/>
      <c r="H56" s="23" t="n"/>
      <c r="I56" s="41" t="n"/>
    </row>
    <row r="58" ht="24" customHeight="1">
      <c r="A58" s="7" t="inlineStr">
        <is>
          <t>Preguntas sobre volumen y proyección</t>
        </is>
      </c>
      <c r="B58" s="4" t="n"/>
      <c r="C58" s="4" t="n"/>
      <c r="D58" s="4" t="n"/>
      <c r="E58" s="4" t="n"/>
      <c r="F58" s="4" t="n"/>
      <c r="G58" s="4" t="n"/>
      <c r="H58" s="4" t="n"/>
      <c r="I58" s="4" t="n"/>
    </row>
    <row r="59" ht="20" customHeight="1">
      <c r="A59" s="15" t="inlineStr">
        <is>
          <t>ID</t>
        </is>
      </c>
      <c r="B59" s="15" t="inlineStr">
        <is>
          <t>Pregunta</t>
        </is>
      </c>
      <c r="C59" s="15" t="inlineStr">
        <is>
          <t>Respuesta de Cruz Verde</t>
        </is>
      </c>
      <c r="D59" s="39" t="n"/>
      <c r="E59" s="39" t="n"/>
      <c r="F59" s="39" t="n"/>
      <c r="G59" s="15" t="inlineStr">
        <is>
          <t>Prioridad</t>
        </is>
      </c>
      <c r="H59" s="15" t="inlineStr">
        <is>
          <t>Dato que tenemos hoy, a confirmar</t>
        </is>
      </c>
      <c r="I59" s="39" t="n"/>
    </row>
    <row r="60" ht="33.59999999999999" customHeight="1">
      <c r="A60" s="43" t="inlineStr">
        <is>
          <t>2.5</t>
        </is>
      </c>
      <c r="B60" s="44" t="inlineStr">
        <is>
          <t>Ticket promedio actual del canal digital (COP).</t>
        </is>
      </c>
      <c r="C60" s="45" t="n"/>
      <c r="D60" s="41" t="n"/>
      <c r="E60" s="41" t="n"/>
      <c r="F60" s="41" t="n"/>
      <c r="G60" s="46" t="inlineStr">
        <is>
          <t>A</t>
        </is>
      </c>
      <c r="H60" s="47" t="inlineStr">
        <is>
          <t>COP 130.000 y a la baja (llamada del 21 de mayo).</t>
        </is>
      </c>
      <c r="I60" s="48" t="n"/>
    </row>
    <row r="61" ht="33.59999999999999" customHeight="1">
      <c r="A61" s="43" t="inlineStr">
        <is>
          <t>2.6</t>
        </is>
      </c>
      <c r="B61" s="44" t="inlineStr">
        <is>
          <t>Volumen mensual que esperan para 2027 (pagos aprobados por mes).</t>
        </is>
      </c>
      <c r="C61" s="45" t="n"/>
      <c r="D61" s="41" t="n"/>
      <c r="E61" s="41" t="n"/>
      <c r="F61" s="41" t="n"/>
      <c r="G61" s="46" t="inlineStr">
        <is>
          <t>A</t>
        </is>
      </c>
      <c r="H61" s="47" t="inlineStr">
        <is>
          <t>Confirmaron que sí alcanzan las 100.000 transacciones mensuales (reunión del 25 de septiembre).</t>
        </is>
      </c>
      <c r="I61" s="48" t="n"/>
    </row>
    <row r="62" ht="33.59999999999999" customHeight="1">
      <c r="A62" s="43" t="inlineStr">
        <is>
          <t>2.7</t>
        </is>
      </c>
      <c r="B62" s="44" t="inlineStr">
        <is>
          <t>Crecimiento esperado del canal digital en 2027 (%).</t>
        </is>
      </c>
      <c r="C62" s="45" t="n"/>
      <c r="D62" s="41" t="n"/>
      <c r="E62" s="41" t="n"/>
      <c r="F62" s="41" t="n"/>
      <c r="G62" s="46" t="inlineStr">
        <is>
          <t>B</t>
        </is>
      </c>
      <c r="H62" s="47" t="n"/>
      <c r="I62" s="48" t="n"/>
    </row>
    <row r="63" ht="33.59999999999999" customHeight="1">
      <c r="A63" s="43" t="inlineStr">
        <is>
          <t>2.8</t>
        </is>
      </c>
      <c r="B63" s="44" t="inlineStr">
        <is>
          <t>Fechas de mayor demanda del año y número de transacciones del día pico.</t>
        </is>
      </c>
      <c r="C63" s="45" t="n"/>
      <c r="D63" s="41" t="n"/>
      <c r="E63" s="41" t="n"/>
      <c r="F63" s="41" t="n"/>
      <c r="G63" s="46" t="inlineStr">
        <is>
          <t>B</t>
        </is>
      </c>
      <c r="H63" s="47" t="n"/>
      <c r="I63" s="48" t="n"/>
    </row>
    <row r="64" ht="33.59999999999999" customHeight="1">
      <c r="A64" s="43" t="inlineStr">
        <is>
          <t>2.9</t>
        </is>
      </c>
      <c r="B64" s="44" t="inlineStr">
        <is>
          <t>Transacciones por minuto en el momento de mayor demanda.</t>
        </is>
      </c>
      <c r="C64" s="45" t="n"/>
      <c r="D64" s="41" t="n"/>
      <c r="E64" s="41" t="n"/>
      <c r="F64" s="41" t="n"/>
      <c r="G64" s="46" t="inlineStr">
        <is>
          <t>C</t>
        </is>
      </c>
      <c r="H64" s="47" t="n"/>
      <c r="I64" s="48" t="n"/>
    </row>
    <row r="65" ht="33.59999999999999" customHeight="1">
      <c r="A65" s="43" t="inlineStr">
        <is>
          <t>2.10</t>
        </is>
      </c>
      <c r="B65" s="44" t="inlineStr">
        <is>
          <t>Porcentaje de clientes que compraron más de una vez en los últimos 12 meses.</t>
        </is>
      </c>
      <c r="C65" s="45" t="n"/>
      <c r="D65" s="41" t="n"/>
      <c r="E65" s="41" t="n"/>
      <c r="F65" s="41" t="n"/>
      <c r="G65" s="46" t="inlineStr">
        <is>
          <t>B</t>
        </is>
      </c>
      <c r="H65" s="47" t="n"/>
      <c r="I65" s="48" t="n"/>
    </row>
  </sheetData>
  <mergeCells count="49">
    <mergeCell ref="H53:I53"/>
    <mergeCell ref="C61:F61"/>
    <mergeCell ref="F54:G54"/>
    <mergeCell ref="H29:I29"/>
    <mergeCell ref="A37:I37"/>
    <mergeCell ref="H54:I54"/>
    <mergeCell ref="H63:I63"/>
    <mergeCell ref="H55:I55"/>
    <mergeCell ref="H31:I31"/>
    <mergeCell ref="A50:I50"/>
    <mergeCell ref="H56:I56"/>
    <mergeCell ref="H25:I25"/>
    <mergeCell ref="F55:G55"/>
    <mergeCell ref="H59:I59"/>
    <mergeCell ref="A2:I2"/>
    <mergeCell ref="A5:I5"/>
    <mergeCell ref="H64:I64"/>
    <mergeCell ref="F51:G51"/>
    <mergeCell ref="H60:I60"/>
    <mergeCell ref="H51:I51"/>
    <mergeCell ref="A23:I23"/>
    <mergeCell ref="C62:F62"/>
    <mergeCell ref="H61:I61"/>
    <mergeCell ref="A35:I35"/>
    <mergeCell ref="A4:I4"/>
    <mergeCell ref="H52:I52"/>
    <mergeCell ref="C64:F64"/>
    <mergeCell ref="H32:I32"/>
    <mergeCell ref="A58:I58"/>
    <mergeCell ref="H28:I28"/>
    <mergeCell ref="C63:F63"/>
    <mergeCell ref="C65:F65"/>
    <mergeCell ref="F56:G56"/>
    <mergeCell ref="A48:I48"/>
    <mergeCell ref="H27:I27"/>
    <mergeCell ref="A24:I24"/>
    <mergeCell ref="F52:G52"/>
    <mergeCell ref="H65:I65"/>
    <mergeCell ref="A49:I49"/>
    <mergeCell ref="H62:I62"/>
    <mergeCell ref="A36:I36"/>
    <mergeCell ref="H33:I33"/>
    <mergeCell ref="A1:I1"/>
    <mergeCell ref="C59:F59"/>
    <mergeCell ref="A6:I6"/>
    <mergeCell ref="C60:F60"/>
    <mergeCell ref="H30:I30"/>
    <mergeCell ref="F53:G53"/>
    <mergeCell ref="H26:I26"/>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3E4FE0"/>
    <outlinePr summaryBelow="1" summaryRight="1"/>
    <pageSetUpPr fitToPage="1"/>
  </sheetPr>
  <dimension ref="A1:I45"/>
  <sheetViews>
    <sheetView showGridLines="0" workbookViewId="0">
      <pane ySplit="2" topLeftCell="A3" activePane="bottomLeft" state="frozen"/>
      <selection pane="bottomLeft" activeCell="A1" sqref="A1"/>
    </sheetView>
  </sheetViews>
  <sheetFormatPr baseColWidth="8" defaultRowHeight="15"/>
  <cols>
    <col width="6" customWidth="1" min="1" max="1"/>
    <col width="44" customWidth="1" min="2" max="2"/>
    <col width="15" customWidth="1" min="3" max="3"/>
    <col width="15" customWidth="1" min="4" max="4"/>
    <col width="15" customWidth="1" min="5" max="5"/>
    <col width="15" customWidth="1" min="6" max="6"/>
    <col width="15" customWidth="1" min="7" max="7"/>
    <col width="15" customWidth="1" min="8" max="8"/>
    <col width="36" customWidth="1" min="9" max="9"/>
  </cols>
  <sheetData>
    <row r="1" ht="34" customHeight="1">
      <c r="A1" s="12" t="inlineStr">
        <is>
          <t>3. Mix de medios de pago</t>
        </is>
      </c>
      <c r="B1" s="2" t="n"/>
      <c r="C1" s="2" t="n"/>
      <c r="D1" s="2" t="n"/>
      <c r="E1" s="2" t="n"/>
      <c r="F1" s="2" t="n"/>
      <c r="G1" s="2" t="n"/>
      <c r="H1" s="2" t="n"/>
      <c r="I1" s="2" t="n"/>
    </row>
    <row r="2" ht="24" customHeight="1">
      <c r="A2" s="24" t="inlineStr">
        <is>
          <t>Período: septiembre de 2025 a agosto de 2026, acumulado. Cifras en COP.</t>
        </is>
      </c>
      <c r="B2" s="4" t="n"/>
      <c r="C2" s="4" t="n"/>
      <c r="D2" s="4" t="n"/>
      <c r="E2" s="4" t="n"/>
      <c r="F2" s="4" t="n"/>
      <c r="G2" s="4" t="n"/>
      <c r="H2" s="4" t="n"/>
      <c r="I2" s="4" t="n"/>
    </row>
    <row r="4" ht="24" customHeight="1">
      <c r="A4" s="7" t="inlineStr">
        <is>
          <t>3.1  Volumen y aprobación por medio de pago</t>
        </is>
      </c>
      <c r="B4" s="4" t="n"/>
      <c r="C4" s="4" t="n"/>
      <c r="D4" s="4" t="n"/>
      <c r="E4" s="4" t="n"/>
      <c r="F4" s="4" t="n"/>
      <c r="G4" s="4" t="n"/>
      <c r="H4" s="4" t="n"/>
      <c r="I4" s="4" t="n"/>
    </row>
    <row r="5" ht="18.42" customHeight="1">
      <c r="A5" s="25" t="inlineStr">
        <is>
          <t>Prioridad A. Área sugerida: Ecommerce y Finanzas. Lo usamos para: la base de todas las partes del caso.</t>
        </is>
      </c>
    </row>
    <row r="6" ht="18.42" customHeight="1">
      <c r="A6" s="25" t="inlineStr">
        <is>
          <t>Dato que tenemos hoy, a confirmar: cerca de 60% PSE y 40% tarjetas (reunión del 25 de septiembre); PSE con 58% de las ventas (llamada del 21 de mayo).</t>
        </is>
      </c>
    </row>
    <row r="7" ht="33.59999999999999" customHeight="1">
      <c r="B7" s="15" t="inlineStr">
        <is>
          <t>Medio de pago</t>
        </is>
      </c>
      <c r="C7" s="15" t="inlineStr">
        <is>
          <t>Intentos de pago (#)</t>
        </is>
      </c>
      <c r="D7" s="15" t="inlineStr">
        <is>
          <t>Pagos aprobados (#)</t>
        </is>
      </c>
      <c r="E7" s="15" t="inlineStr">
        <is>
          <t>Tasa de aprobación</t>
        </is>
      </c>
      <c r="F7" s="15" t="inlineStr">
        <is>
          <t>Ventas aprobadas (COP)</t>
        </is>
      </c>
      <c r="G7" s="15" t="inlineStr">
        <is>
          <t>Participación en transacciones</t>
        </is>
      </c>
      <c r="H7" s="15" t="inlineStr">
        <is>
          <t>Participación en ventas</t>
        </is>
      </c>
      <c r="I7" s="15" t="inlineStr">
        <is>
          <t>Comentarios</t>
        </is>
      </c>
    </row>
    <row r="8" ht="19.8" customHeight="1">
      <c r="A8" s="29" t="inlineStr">
        <is>
          <t>Ej.</t>
        </is>
      </c>
      <c r="B8" s="30" t="inlineStr">
        <is>
          <t>PSE</t>
        </is>
      </c>
      <c r="C8" s="31" t="n">
        <v>1000</v>
      </c>
      <c r="D8" s="31" t="n">
        <v>900</v>
      </c>
      <c r="E8" s="32" t="n">
        <v>0.9</v>
      </c>
      <c r="F8" s="31" t="n">
        <v>45000000</v>
      </c>
      <c r="G8" s="32" t="n">
        <v>0.6</v>
      </c>
      <c r="H8" s="32" t="n">
        <v>0.6</v>
      </c>
      <c r="I8" s="30" t="inlineStr">
        <is>
          <t>Texto libre</t>
        </is>
      </c>
    </row>
    <row r="9" ht="19.8" customHeight="1">
      <c r="B9" s="18" t="inlineStr">
        <is>
          <t>PSE</t>
        </is>
      </c>
      <c r="C9" s="33" t="n"/>
      <c r="D9" s="33" t="n"/>
      <c r="E9" s="34">
        <f>IF(AND(ISNUMBER(D9),ISNUMBER(C9)),IF(C9&gt;0,D9/C9,""),"")</f>
        <v/>
      </c>
      <c r="F9" s="33" t="n"/>
      <c r="G9" s="34">
        <f>IF(ISNUMBER(D9),IF(SUM(D$9:D$14)&gt;0,D9/SUM(D$9:D$14),""),"")</f>
        <v/>
      </c>
      <c r="H9" s="34">
        <f>IF(ISNUMBER(F9),IF(SUM(F$9:F$14)&gt;0,F9/SUM(F$9:F$14),""),"")</f>
        <v/>
      </c>
      <c r="I9" s="23" t="n"/>
    </row>
    <row r="10" ht="19.8" customHeight="1">
      <c r="B10" s="18" t="inlineStr">
        <is>
          <t>Tarjeta de crédito</t>
        </is>
      </c>
      <c r="C10" s="33" t="n"/>
      <c r="D10" s="33" t="n"/>
      <c r="E10" s="34">
        <f>IF(AND(ISNUMBER(D10),ISNUMBER(C10)),IF(C10&gt;0,D10/C10,""),"")</f>
        <v/>
      </c>
      <c r="F10" s="33" t="n"/>
      <c r="G10" s="34">
        <f>IF(ISNUMBER(D10),IF(SUM(D$9:D$14)&gt;0,D10/SUM(D$9:D$14),""),"")</f>
        <v/>
      </c>
      <c r="H10" s="34">
        <f>IF(ISNUMBER(F10),IF(SUM(F$9:F$14)&gt;0,F10/SUM(F$9:F$14),""),"")</f>
        <v/>
      </c>
      <c r="I10" s="23" t="n"/>
    </row>
    <row r="11" ht="19.8" customHeight="1">
      <c r="B11" s="18" t="inlineStr">
        <is>
          <t>Tarjeta de débito</t>
        </is>
      </c>
      <c r="C11" s="33" t="n"/>
      <c r="D11" s="33" t="n"/>
      <c r="E11" s="34">
        <f>IF(AND(ISNUMBER(D11),ISNUMBER(C11)),IF(C11&gt;0,D11/C11,""),"")</f>
        <v/>
      </c>
      <c r="F11" s="33" t="n"/>
      <c r="G11" s="34">
        <f>IF(ISNUMBER(D11),IF(SUM(D$9:D$14)&gt;0,D11/SUM(D$9:D$14),""),"")</f>
        <v/>
      </c>
      <c r="H11" s="34">
        <f>IF(ISNUMBER(F11),IF(SUM(F$9:F$14)&gt;0,F11/SUM(F$9:F$14),""),"")</f>
        <v/>
      </c>
      <c r="I11" s="23" t="n"/>
    </row>
    <row r="12" ht="19.8" customHeight="1">
      <c r="B12" s="18" t="inlineStr">
        <is>
          <t>Efectivo (indicar modalidad en comentarios)</t>
        </is>
      </c>
      <c r="C12" s="33" t="n"/>
      <c r="D12" s="33" t="n"/>
      <c r="E12" s="34">
        <f>IF(AND(ISNUMBER(D12),ISNUMBER(C12)),IF(C12&gt;0,D12/C12,""),"")</f>
        <v/>
      </c>
      <c r="F12" s="33" t="n"/>
      <c r="G12" s="34">
        <f>IF(ISNUMBER(D12),IF(SUM(D$9:D$14)&gt;0,D12/SUM(D$9:D$14),""),"")</f>
        <v/>
      </c>
      <c r="H12" s="34">
        <f>IF(ISNUMBER(F12),IF(SUM(F$9:F$14)&gt;0,F12/SUM(F$9:F$14),""),"")</f>
        <v/>
      </c>
      <c r="I12" s="23" t="n"/>
    </row>
    <row r="13" ht="19.8" customHeight="1">
      <c r="B13" s="18" t="inlineStr">
        <is>
          <t>Saldo o crédito de Mercado Pago</t>
        </is>
      </c>
      <c r="C13" s="33" t="n"/>
      <c r="D13" s="33" t="n"/>
      <c r="E13" s="34">
        <f>IF(AND(ISNUMBER(D13),ISNUMBER(C13)),IF(C13&gt;0,D13/C13,""),"")</f>
        <v/>
      </c>
      <c r="F13" s="33" t="n"/>
      <c r="G13" s="34">
        <f>IF(ISNUMBER(D13),IF(SUM(D$9:D$14)&gt;0,D13/SUM(D$9:D$14),""),"")</f>
        <v/>
      </c>
      <c r="H13" s="34">
        <f>IF(ISNUMBER(F13),IF(SUM(F$9:F$14)&gt;0,F13/SUM(F$9:F$14),""),"")</f>
        <v/>
      </c>
      <c r="I13" s="23" t="n"/>
    </row>
    <row r="14" ht="19.8" customHeight="1">
      <c r="B14" s="18" t="inlineStr">
        <is>
          <t>Otro (especificar en comentarios)</t>
        </is>
      </c>
      <c r="C14" s="33" t="n"/>
      <c r="D14" s="33" t="n"/>
      <c r="E14" s="34">
        <f>IF(AND(ISNUMBER(D14),ISNUMBER(C14)),IF(C14&gt;0,D14/C14,""),"")</f>
        <v/>
      </c>
      <c r="F14" s="33" t="n"/>
      <c r="G14" s="34">
        <f>IF(ISNUMBER(D14),IF(SUM(D$9:D$14)&gt;0,D14/SUM(D$9:D$14),""),"")</f>
        <v/>
      </c>
      <c r="H14" s="34">
        <f>IF(ISNUMBER(F14),IF(SUM(F$9:F$14)&gt;0,F14/SUM(F$9:F$14),""),"")</f>
        <v/>
      </c>
      <c r="I14" s="23" t="n"/>
    </row>
    <row r="15" ht="19.8" customHeight="1">
      <c r="B15" s="36" t="inlineStr">
        <is>
          <t>Total</t>
        </is>
      </c>
      <c r="C15" s="37">
        <f>SUM(C9:C14)</f>
        <v/>
      </c>
      <c r="D15" s="37">
        <f>SUM(D9:D14)</f>
        <v/>
      </c>
      <c r="E15" s="38">
        <f>IF(AND(ISNUMBER(D15),ISNUMBER(C15)),IF(C15&gt;0,D15/C15,""),"")</f>
        <v/>
      </c>
      <c r="F15" s="37">
        <f>SUM(F9:F14)</f>
        <v/>
      </c>
      <c r="G15" s="38" t="n"/>
      <c r="H15" s="38" t="n"/>
      <c r="I15" s="36" t="n"/>
    </row>
    <row r="17" ht="24" customHeight="1">
      <c r="A17" s="7" t="inlineStr">
        <is>
          <t>3.2  Tarjetas por marca y tipo</t>
        </is>
      </c>
      <c r="B17" s="4" t="n"/>
      <c r="C17" s="4" t="n"/>
      <c r="D17" s="4" t="n"/>
      <c r="E17" s="4" t="n"/>
      <c r="F17" s="4" t="n"/>
      <c r="G17" s="4" t="n"/>
      <c r="H17" s="4" t="n"/>
      <c r="I17" s="4" t="n"/>
    </row>
    <row r="18" ht="18.42" customHeight="1">
      <c r="A18" s="25" t="inlineStr">
        <is>
          <t>Prioridad A. Área sugerida: Ecommerce y Finanzas. Lo usamos para: aprobación por marca y costo transaccional.</t>
        </is>
      </c>
    </row>
    <row r="19" ht="33.59999999999999" customHeight="1">
      <c r="B19" s="15" t="inlineStr">
        <is>
          <t>Marca y tipo</t>
        </is>
      </c>
      <c r="C19" s="15" t="inlineStr">
        <is>
          <t>Intentos de pago (#)</t>
        </is>
      </c>
      <c r="D19" s="15" t="inlineStr">
        <is>
          <t>Pagos aprobados (#)</t>
        </is>
      </c>
      <c r="E19" s="15" t="inlineStr">
        <is>
          <t>Tasa de aprobación</t>
        </is>
      </c>
      <c r="F19" s="15" t="inlineStr">
        <is>
          <t>Ventas aprobadas (COP)</t>
        </is>
      </c>
      <c r="G19" s="15" t="inlineStr">
        <is>
          <t>Participación en transacciones</t>
        </is>
      </c>
      <c r="H19" s="15" t="inlineStr">
        <is>
          <t>Participación en ventas</t>
        </is>
      </c>
      <c r="I19" s="15" t="inlineStr">
        <is>
          <t>Comentarios</t>
        </is>
      </c>
    </row>
    <row r="20" ht="19.8" customHeight="1">
      <c r="A20" s="29" t="inlineStr">
        <is>
          <t>Ej.</t>
        </is>
      </c>
      <c r="B20" s="30" t="inlineStr">
        <is>
          <t>Visa crédito</t>
        </is>
      </c>
      <c r="C20" s="31" t="n">
        <v>1000</v>
      </c>
      <c r="D20" s="31" t="n">
        <v>900</v>
      </c>
      <c r="E20" s="32" t="n">
        <v>0.9</v>
      </c>
      <c r="F20" s="31" t="n">
        <v>45000000</v>
      </c>
      <c r="G20" s="32" t="n">
        <v>0.3</v>
      </c>
      <c r="H20" s="32" t="n">
        <v>0.3</v>
      </c>
      <c r="I20" s="30" t="inlineStr">
        <is>
          <t>Texto libre</t>
        </is>
      </c>
    </row>
    <row r="21" ht="19.8" customHeight="1">
      <c r="B21" s="18" t="inlineStr">
        <is>
          <t>Visa crédito</t>
        </is>
      </c>
      <c r="C21" s="33" t="n"/>
      <c r="D21" s="33" t="n"/>
      <c r="E21" s="34">
        <f>IF(AND(ISNUMBER(D21),ISNUMBER(C21)),IF(C21&gt;0,D21/C21,""),"")</f>
        <v/>
      </c>
      <c r="F21" s="33" t="n"/>
      <c r="G21" s="34">
        <f>IF(ISNUMBER(D21),IF(SUM(D$21:D$27)&gt;0,D21/SUM(D$21:D$27),""),"")</f>
        <v/>
      </c>
      <c r="H21" s="34">
        <f>IF(ISNUMBER(F21),IF(SUM(F$21:F$27)&gt;0,F21/SUM(F$21:F$27),""),"")</f>
        <v/>
      </c>
      <c r="I21" s="23" t="n"/>
    </row>
    <row r="22" ht="19.8" customHeight="1">
      <c r="B22" s="18" t="inlineStr">
        <is>
          <t>Visa débito</t>
        </is>
      </c>
      <c r="C22" s="33" t="n"/>
      <c r="D22" s="33" t="n"/>
      <c r="E22" s="34">
        <f>IF(AND(ISNUMBER(D22),ISNUMBER(C22)),IF(C22&gt;0,D22/C22,""),"")</f>
        <v/>
      </c>
      <c r="F22" s="33" t="n"/>
      <c r="G22" s="34">
        <f>IF(ISNUMBER(D22),IF(SUM(D$21:D$27)&gt;0,D22/SUM(D$21:D$27),""),"")</f>
        <v/>
      </c>
      <c r="H22" s="34">
        <f>IF(ISNUMBER(F22),IF(SUM(F$21:F$27)&gt;0,F22/SUM(F$21:F$27),""),"")</f>
        <v/>
      </c>
      <c r="I22" s="23" t="n"/>
    </row>
    <row r="23" ht="19.8" customHeight="1">
      <c r="B23" s="18" t="inlineStr">
        <is>
          <t>Mastercard crédito</t>
        </is>
      </c>
      <c r="C23" s="33" t="n"/>
      <c r="D23" s="33" t="n"/>
      <c r="E23" s="34">
        <f>IF(AND(ISNUMBER(D23),ISNUMBER(C23)),IF(C23&gt;0,D23/C23,""),"")</f>
        <v/>
      </c>
      <c r="F23" s="33" t="n"/>
      <c r="G23" s="34">
        <f>IF(ISNUMBER(D23),IF(SUM(D$21:D$27)&gt;0,D23/SUM(D$21:D$27),""),"")</f>
        <v/>
      </c>
      <c r="H23" s="34">
        <f>IF(ISNUMBER(F23),IF(SUM(F$21:F$27)&gt;0,F23/SUM(F$21:F$27),""),"")</f>
        <v/>
      </c>
      <c r="I23" s="23" t="n"/>
    </row>
    <row r="24" ht="19.8" customHeight="1">
      <c r="B24" s="18" t="inlineStr">
        <is>
          <t>Mastercard débito</t>
        </is>
      </c>
      <c r="C24" s="33" t="n"/>
      <c r="D24" s="33" t="n"/>
      <c r="E24" s="34">
        <f>IF(AND(ISNUMBER(D24),ISNUMBER(C24)),IF(C24&gt;0,D24/C24,""),"")</f>
        <v/>
      </c>
      <c r="F24" s="33" t="n"/>
      <c r="G24" s="34">
        <f>IF(ISNUMBER(D24),IF(SUM(D$21:D$27)&gt;0,D24/SUM(D$21:D$27),""),"")</f>
        <v/>
      </c>
      <c r="H24" s="34">
        <f>IF(ISNUMBER(F24),IF(SUM(F$21:F$27)&gt;0,F24/SUM(F$21:F$27),""),"")</f>
        <v/>
      </c>
      <c r="I24" s="23" t="n"/>
    </row>
    <row r="25" ht="19.8" customHeight="1">
      <c r="B25" s="18" t="inlineStr">
        <is>
          <t>American Express</t>
        </is>
      </c>
      <c r="C25" s="33" t="n"/>
      <c r="D25" s="33" t="n"/>
      <c r="E25" s="34">
        <f>IF(AND(ISNUMBER(D25),ISNUMBER(C25)),IF(C25&gt;0,D25/C25,""),"")</f>
        <v/>
      </c>
      <c r="F25" s="33" t="n"/>
      <c r="G25" s="34">
        <f>IF(ISNUMBER(D25),IF(SUM(D$21:D$27)&gt;0,D25/SUM(D$21:D$27),""),"")</f>
        <v/>
      </c>
      <c r="H25" s="34">
        <f>IF(ISNUMBER(F25),IF(SUM(F$21:F$27)&gt;0,F25/SUM(F$21:F$27),""),"")</f>
        <v/>
      </c>
      <c r="I25" s="23" t="n"/>
    </row>
    <row r="26" ht="19.8" customHeight="1">
      <c r="B26" s="18" t="inlineStr">
        <is>
          <t>Diners Club</t>
        </is>
      </c>
      <c r="C26" s="33" t="n"/>
      <c r="D26" s="33" t="n"/>
      <c r="E26" s="34">
        <f>IF(AND(ISNUMBER(D26),ISNUMBER(C26)),IF(C26&gt;0,D26/C26,""),"")</f>
        <v/>
      </c>
      <c r="F26" s="33" t="n"/>
      <c r="G26" s="34">
        <f>IF(ISNUMBER(D26),IF(SUM(D$21:D$27)&gt;0,D26/SUM(D$21:D$27),""),"")</f>
        <v/>
      </c>
      <c r="H26" s="34">
        <f>IF(ISNUMBER(F26),IF(SUM(F$21:F$27)&gt;0,F26/SUM(F$21:F$27),""),"")</f>
        <v/>
      </c>
      <c r="I26" s="23" t="n"/>
    </row>
    <row r="27" ht="19.8" customHeight="1">
      <c r="B27" s="18" t="inlineStr">
        <is>
          <t>Otra (especificar en comentarios)</t>
        </is>
      </c>
      <c r="C27" s="33" t="n"/>
      <c r="D27" s="33" t="n"/>
      <c r="E27" s="34">
        <f>IF(AND(ISNUMBER(D27),ISNUMBER(C27)),IF(C27&gt;0,D27/C27,""),"")</f>
        <v/>
      </c>
      <c r="F27" s="33" t="n"/>
      <c r="G27" s="34">
        <f>IF(ISNUMBER(D27),IF(SUM(D$21:D$27)&gt;0,D27/SUM(D$21:D$27),""),"")</f>
        <v/>
      </c>
      <c r="H27" s="34">
        <f>IF(ISNUMBER(F27),IF(SUM(F$21:F$27)&gt;0,F27/SUM(F$21:F$27),""),"")</f>
        <v/>
      </c>
      <c r="I27" s="23" t="n"/>
    </row>
    <row r="28" ht="19.8" customHeight="1">
      <c r="B28" s="36" t="inlineStr">
        <is>
          <t>Total</t>
        </is>
      </c>
      <c r="C28" s="37">
        <f>SUM(C21:C27)</f>
        <v/>
      </c>
      <c r="D28" s="37">
        <f>SUM(D21:D27)</f>
        <v/>
      </c>
      <c r="E28" s="38">
        <f>IF(AND(ISNUMBER(D28),ISNUMBER(C28)),IF(C28&gt;0,D28/C28,""),"")</f>
        <v/>
      </c>
      <c r="F28" s="37">
        <f>SUM(F21:F27)</f>
        <v/>
      </c>
      <c r="G28" s="38" t="n"/>
      <c r="H28" s="38" t="n"/>
      <c r="I28" s="36" t="n"/>
    </row>
    <row r="30" ht="24" customHeight="1">
      <c r="A30" s="7" t="inlineStr">
        <is>
          <t>3.3  Tarjetas por origen y modalidad</t>
        </is>
      </c>
      <c r="B30" s="4" t="n"/>
      <c r="C30" s="4" t="n"/>
      <c r="D30" s="4" t="n"/>
      <c r="E30" s="4" t="n"/>
      <c r="F30" s="4" t="n"/>
      <c r="G30" s="4" t="n"/>
      <c r="H30" s="4" t="n"/>
      <c r="I30" s="4" t="n"/>
    </row>
    <row r="31" ht="18.42" customHeight="1">
      <c r="A31" s="25" t="inlineStr">
        <is>
          <t>Prioridad B. Área sugerida: Ecommerce. Lo usamos para: aprobación por segmento.</t>
        </is>
      </c>
    </row>
    <row r="32" ht="18.42" customHeight="1">
      <c r="A32" s="25" t="inlineStr">
        <is>
          <t>Los segmentos no son excluyentes entre sí, por eso esta tabla no lleva total.</t>
        </is>
      </c>
    </row>
    <row r="33" ht="33.59999999999999" customHeight="1">
      <c r="B33" s="15" t="inlineStr">
        <is>
          <t>Segmento</t>
        </is>
      </c>
      <c r="C33" s="15" t="inlineStr">
        <is>
          <t>Intentos de pago (#)</t>
        </is>
      </c>
      <c r="D33" s="15" t="inlineStr">
        <is>
          <t>Pagos aprobados (#)</t>
        </is>
      </c>
      <c r="E33" s="15" t="inlineStr">
        <is>
          <t>Tasa de aprobación</t>
        </is>
      </c>
      <c r="F33" s="15" t="inlineStr">
        <is>
          <t>Ventas aprobadas (COP)</t>
        </is>
      </c>
      <c r="G33" s="15" t="inlineStr">
        <is>
          <t>Comentarios</t>
        </is>
      </c>
      <c r="H33" s="39" t="n"/>
      <c r="I33" s="39" t="n"/>
    </row>
    <row r="34" ht="19.8" customHeight="1">
      <c r="A34" s="29" t="inlineStr">
        <is>
          <t>Ej.</t>
        </is>
      </c>
      <c r="B34" s="30" t="inlineStr">
        <is>
          <t>Tarjetas emitidas en Colombia</t>
        </is>
      </c>
      <c r="C34" s="31" t="n">
        <v>1000</v>
      </c>
      <c r="D34" s="31" t="n">
        <v>900</v>
      </c>
      <c r="E34" s="32" t="n">
        <v>0.9</v>
      </c>
      <c r="F34" s="31" t="n">
        <v>45000000</v>
      </c>
      <c r="G34" s="30" t="inlineStr">
        <is>
          <t>Texto libre</t>
        </is>
      </c>
      <c r="H34" s="40" t="n"/>
      <c r="I34" s="40" t="n"/>
    </row>
    <row r="35" ht="19.8" customHeight="1">
      <c r="B35" s="18" t="inlineStr">
        <is>
          <t>Tarjetas emitidas en Colombia</t>
        </is>
      </c>
      <c r="C35" s="33" t="n"/>
      <c r="D35" s="33" t="n"/>
      <c r="E35" s="34">
        <f>IF(AND(ISNUMBER(D35),ISNUMBER(C35)),IF(C35&gt;0,D35/C35,""),"")</f>
        <v/>
      </c>
      <c r="F35" s="33" t="n"/>
      <c r="G35" s="23" t="n"/>
      <c r="H35" s="41" t="n"/>
      <c r="I35" s="41" t="n"/>
    </row>
    <row r="36" ht="19.8" customHeight="1">
      <c r="B36" s="18" t="inlineStr">
        <is>
          <t>Tarjetas emitidas en el exterior</t>
        </is>
      </c>
      <c r="C36" s="33" t="n"/>
      <c r="D36" s="33" t="n"/>
      <c r="E36" s="34">
        <f>IF(AND(ISNUMBER(D36),ISNUMBER(C36)),IF(C36&gt;0,D36/C36,""),"")</f>
        <v/>
      </c>
      <c r="F36" s="33" t="n"/>
      <c r="G36" s="23" t="n"/>
      <c r="H36" s="41" t="n"/>
      <c r="I36" s="41" t="n"/>
    </row>
    <row r="37" ht="19.8" customHeight="1">
      <c r="B37" s="18" t="inlineStr">
        <is>
          <t>Pagos con tarjeta guardada</t>
        </is>
      </c>
      <c r="C37" s="33" t="n"/>
      <c r="D37" s="33" t="n"/>
      <c r="E37" s="34">
        <f>IF(AND(ISNUMBER(D37),ISNUMBER(C37)),IF(C37&gt;0,D37/C37,""),"")</f>
        <v/>
      </c>
      <c r="F37" s="33" t="n"/>
      <c r="G37" s="23" t="n"/>
      <c r="H37" s="41" t="n"/>
      <c r="I37" s="41" t="n"/>
    </row>
    <row r="38" ht="19.8" customHeight="1">
      <c r="B38" s="18" t="inlineStr">
        <is>
          <t>Pagos con tarjeta digitada en la compra</t>
        </is>
      </c>
      <c r="C38" s="33" t="n"/>
      <c r="D38" s="33" t="n"/>
      <c r="E38" s="34">
        <f>IF(AND(ISNUMBER(D38),ISNUMBER(C38)),IF(C38&gt;0,D38/C38,""),"")</f>
        <v/>
      </c>
      <c r="F38" s="33" t="n"/>
      <c r="G38" s="23" t="n"/>
      <c r="H38" s="41" t="n"/>
      <c r="I38" s="41" t="n"/>
    </row>
    <row r="39" ht="19.8" customHeight="1">
      <c r="B39" s="18" t="inlineStr">
        <is>
          <t>Pagos a 1 cuota</t>
        </is>
      </c>
      <c r="C39" s="33" t="n"/>
      <c r="D39" s="33" t="n"/>
      <c r="E39" s="34">
        <f>IF(AND(ISNUMBER(D39),ISNUMBER(C39)),IF(C39&gt;0,D39/C39,""),"")</f>
        <v/>
      </c>
      <c r="F39" s="33" t="n"/>
      <c r="G39" s="23" t="n"/>
      <c r="H39" s="41" t="n"/>
      <c r="I39" s="41" t="n"/>
    </row>
    <row r="40" ht="19.8" customHeight="1">
      <c r="B40" s="18" t="inlineStr">
        <is>
          <t>Pagos a más de 1 cuota</t>
        </is>
      </c>
      <c r="C40" s="33" t="n"/>
      <c r="D40" s="33" t="n"/>
      <c r="E40" s="34">
        <f>IF(AND(ISNUMBER(D40),ISNUMBER(C40)),IF(C40&gt;0,D40/C40,""),"")</f>
        <v/>
      </c>
      <c r="F40" s="33" t="n"/>
      <c r="G40" s="23" t="n"/>
      <c r="H40" s="41" t="n"/>
      <c r="I40" s="41" t="n"/>
    </row>
    <row r="42" ht="24" customHeight="1">
      <c r="A42" s="7" t="inlineStr">
        <is>
          <t>Preguntas sobre efectivo y links de pago</t>
        </is>
      </c>
      <c r="B42" s="4" t="n"/>
      <c r="C42" s="4" t="n"/>
      <c r="D42" s="4" t="n"/>
      <c r="E42" s="4" t="n"/>
      <c r="F42" s="4" t="n"/>
      <c r="G42" s="4" t="n"/>
      <c r="H42" s="4" t="n"/>
      <c r="I42" s="4" t="n"/>
    </row>
    <row r="43" ht="20" customHeight="1">
      <c r="A43" s="15" t="inlineStr">
        <is>
          <t>ID</t>
        </is>
      </c>
      <c r="B43" s="15" t="inlineStr">
        <is>
          <t>Pregunta</t>
        </is>
      </c>
      <c r="C43" s="15" t="inlineStr">
        <is>
          <t>Respuesta de Cruz Verde</t>
        </is>
      </c>
      <c r="D43" s="39" t="n"/>
      <c r="E43" s="39" t="n"/>
      <c r="F43" s="39" t="n"/>
      <c r="G43" s="15" t="inlineStr">
        <is>
          <t>Prioridad</t>
        </is>
      </c>
      <c r="H43" s="15" t="inlineStr">
        <is>
          <t>Dato que tenemos hoy, a confirmar</t>
        </is>
      </c>
      <c r="I43" s="39" t="n"/>
    </row>
    <row r="44" ht="47.4" customHeight="1">
      <c r="A44" s="43" t="inlineStr">
        <is>
          <t>3.4</t>
        </is>
      </c>
      <c r="B44" s="44" t="inlineStr">
        <is>
          <t>Modalidad de las transacciones en efectivo: pago contra entrega, recaudo en puntos físicos u otra. Indicar el proveedor si existe.</t>
        </is>
      </c>
      <c r="C44" s="45" t="n"/>
      <c r="D44" s="41" t="n"/>
      <c r="E44" s="41" t="n"/>
      <c r="F44" s="41" t="n"/>
      <c r="G44" s="46" t="inlineStr">
        <is>
          <t>A</t>
        </is>
      </c>
      <c r="H44" s="47" t="inlineStr">
        <is>
          <t>Cerca de 20.000 transacciones al mes en efectivo (llamada del 21 de mayo).</t>
        </is>
      </c>
      <c r="I44" s="48" t="n"/>
    </row>
    <row r="45" ht="33.59999999999999" customHeight="1">
      <c r="A45" s="43" t="inlineStr">
        <is>
          <t>3.5</t>
        </is>
      </c>
      <c r="B45" s="44" t="inlineStr">
        <is>
          <t>Links de pago: para qué casos se usan y cuántos se generan y se pagan al mes.</t>
        </is>
      </c>
      <c r="C45" s="45" t="n"/>
      <c r="D45" s="41" t="n"/>
      <c r="E45" s="41" t="n"/>
      <c r="F45" s="41" t="n"/>
      <c r="G45" s="46" t="inlineStr">
        <is>
          <t>B</t>
        </is>
      </c>
      <c r="H45" s="47" t="inlineStr">
        <is>
          <t>Usan links de pago de Mercado Pago para puntos de venta (llamada del 21 de mayo).</t>
        </is>
      </c>
      <c r="I45" s="48" t="n"/>
    </row>
  </sheetData>
  <mergeCells count="25">
    <mergeCell ref="G38:I38"/>
    <mergeCell ref="G37:I37"/>
    <mergeCell ref="H43:I43"/>
    <mergeCell ref="A18:I18"/>
    <mergeCell ref="G34:I34"/>
    <mergeCell ref="H44:I44"/>
    <mergeCell ref="G33:I33"/>
    <mergeCell ref="A2:I2"/>
    <mergeCell ref="A5:I5"/>
    <mergeCell ref="A42:I42"/>
    <mergeCell ref="A32:I32"/>
    <mergeCell ref="A17:I17"/>
    <mergeCell ref="G35:I35"/>
    <mergeCell ref="A4:I4"/>
    <mergeCell ref="C45:F45"/>
    <mergeCell ref="H45:I45"/>
    <mergeCell ref="G40:I40"/>
    <mergeCell ref="A31:I31"/>
    <mergeCell ref="A30:I30"/>
    <mergeCell ref="C44:F44"/>
    <mergeCell ref="G36:I36"/>
    <mergeCell ref="C43:F43"/>
    <mergeCell ref="A1:I1"/>
    <mergeCell ref="G39:I39"/>
    <mergeCell ref="A6:I6"/>
  </mergeCells>
  <pageMargins left="0.75" right="0.75" top="1" bottom="1" header="0.5" footer="0.5"/>
  <pageSetup orientation="landscape" fitToHeight="0" fitToWidth="1"/>
</worksheet>
</file>

<file path=xl/worksheets/sheet6.xml><?xml version="1.0" encoding="utf-8"?>
<worksheet xmlns="http://schemas.openxmlformats.org/spreadsheetml/2006/main">
  <sheetPr>
    <tabColor rgb="003E4FE0"/>
    <outlinePr summaryBelow="1" summaryRight="1"/>
    <pageSetUpPr fitToPage="1"/>
  </sheetPr>
  <dimension ref="A1:I49"/>
  <sheetViews>
    <sheetView showGridLines="0" workbookViewId="0">
      <pane ySplit="2" topLeftCell="A3" activePane="bottomLeft" state="frozen"/>
      <selection pane="bottomLeft" activeCell="A1" sqref="A1"/>
    </sheetView>
  </sheetViews>
  <sheetFormatPr baseColWidth="8" defaultRowHeight="15"/>
  <cols>
    <col width="6" customWidth="1" min="1" max="1"/>
    <col width="44" customWidth="1" min="2" max="2"/>
    <col width="15" customWidth="1" min="3" max="3"/>
    <col width="15" customWidth="1" min="4" max="4"/>
    <col width="15" customWidth="1" min="5" max="5"/>
    <col width="15" customWidth="1" min="6" max="6"/>
    <col width="15" customWidth="1" min="7" max="7"/>
    <col width="15" customWidth="1" min="8" max="8"/>
    <col width="36" customWidth="1" min="9" max="9"/>
  </cols>
  <sheetData>
    <row r="1" ht="34" customHeight="1">
      <c r="A1" s="12" t="inlineStr">
        <is>
          <t>4. Aprobación en tarjetas</t>
        </is>
      </c>
      <c r="B1" s="2" t="n"/>
      <c r="C1" s="2" t="n"/>
      <c r="D1" s="2" t="n"/>
      <c r="E1" s="2" t="n"/>
      <c r="F1" s="2" t="n"/>
      <c r="G1" s="2" t="n"/>
      <c r="H1" s="2" t="n"/>
      <c r="I1" s="2" t="n"/>
    </row>
    <row r="2" ht="24" customHeight="1">
      <c r="A2" s="24" t="inlineStr">
        <is>
          <t>Período: septiembre de 2025 a agosto de 2026, acumulado. Solo pagos con tarjeta de crédito y débito.</t>
        </is>
      </c>
      <c r="B2" s="4" t="n"/>
      <c r="C2" s="4" t="n"/>
      <c r="D2" s="4" t="n"/>
      <c r="E2" s="4" t="n"/>
      <c r="F2" s="4" t="n"/>
      <c r="G2" s="4" t="n"/>
      <c r="H2" s="4" t="n"/>
      <c r="I2" s="4" t="n"/>
    </row>
    <row r="4" ht="24" customHeight="1">
      <c r="A4" s="7" t="inlineStr">
        <is>
          <t>4.1  Aprobación por banco emisor: los 15 bancos con más intentos</t>
        </is>
      </c>
      <c r="B4" s="4" t="n"/>
      <c r="C4" s="4" t="n"/>
      <c r="D4" s="4" t="n"/>
      <c r="E4" s="4" t="n"/>
      <c r="F4" s="4" t="n"/>
      <c r="G4" s="4" t="n"/>
      <c r="H4" s="4" t="n"/>
      <c r="I4" s="4" t="n"/>
    </row>
    <row r="5" ht="18.42" customHeight="1">
      <c r="A5" s="25" t="inlineStr">
        <is>
          <t>Prioridad A. Área sugerida: Ecommerce y Finanzas. Lo usamos para: aprobación: dónde se concentran los rechazos.</t>
        </is>
      </c>
    </row>
    <row r="6" ht="18.42" customHeight="1">
      <c r="A6" s="25" t="inlineStr">
        <is>
          <t>Dato que tenemos hoy, a confirmar: aprobación en tarjetas cercana a 90% (reunión del 25 de septiembre); 91% sin reintentos (llamada del 21 de mayo).</t>
        </is>
      </c>
    </row>
    <row r="7" ht="18.42" customHeight="1">
      <c r="A7" s="25" t="inlineStr">
        <is>
          <t>Si el reporte no trae el nombre del banco, el BIN (primeros 6 dígitos) nos sirve para identificarlo.</t>
        </is>
      </c>
    </row>
    <row r="8" ht="33.59999999999999" customHeight="1">
      <c r="B8" s="15" t="inlineStr">
        <is>
          <t>Banco emisor</t>
        </is>
      </c>
      <c r="C8" s="15" t="inlineStr">
        <is>
          <t>Tipo de tarjeta</t>
        </is>
      </c>
      <c r="D8" s="15" t="inlineStr">
        <is>
          <t>Intentos de pago (#)</t>
        </is>
      </c>
      <c r="E8" s="15" t="inlineStr">
        <is>
          <t>Pagos aprobados (#)</t>
        </is>
      </c>
      <c r="F8" s="15" t="inlineStr">
        <is>
          <t>Tasa de aprobación</t>
        </is>
      </c>
      <c r="G8" s="15" t="inlineStr">
        <is>
          <t>Ventas aprobadas (COP)</t>
        </is>
      </c>
      <c r="H8" s="15" t="inlineStr">
        <is>
          <t>Motivo de rechazo más frecuente</t>
        </is>
      </c>
      <c r="I8" s="39" t="n"/>
    </row>
    <row r="9" ht="19.8" customHeight="1">
      <c r="A9" s="29" t="inlineStr">
        <is>
          <t>Ej.</t>
        </is>
      </c>
      <c r="B9" s="30" t="inlineStr">
        <is>
          <t>Banco de ejemplo</t>
        </is>
      </c>
      <c r="C9" s="30" t="inlineStr">
        <is>
          <t>Crédito</t>
        </is>
      </c>
      <c r="D9" s="31" t="n">
        <v>1000</v>
      </c>
      <c r="E9" s="31" t="n">
        <v>900</v>
      </c>
      <c r="F9" s="32" t="n">
        <v>0.9</v>
      </c>
      <c r="G9" s="31" t="n">
        <v>45000000</v>
      </c>
      <c r="H9" s="30" t="inlineStr">
        <is>
          <t>Fondos insuficientes</t>
        </is>
      </c>
      <c r="I9" s="40" t="n"/>
    </row>
    <row r="10" ht="18" customHeight="1">
      <c r="B10" s="23" t="n"/>
      <c r="C10" s="23" t="n"/>
      <c r="D10" s="33" t="n"/>
      <c r="E10" s="33" t="n"/>
      <c r="F10" s="34">
        <f>IF(AND(ISNUMBER(E10),ISNUMBER(D10)),IF(D10&gt;0,E10/D10,""),"")</f>
        <v/>
      </c>
      <c r="G10" s="33" t="n"/>
      <c r="H10" s="23" t="n"/>
      <c r="I10" s="41" t="n"/>
    </row>
    <row r="11" ht="18" customHeight="1">
      <c r="B11" s="23" t="n"/>
      <c r="C11" s="23" t="n"/>
      <c r="D11" s="33" t="n"/>
      <c r="E11" s="33" t="n"/>
      <c r="F11" s="34">
        <f>IF(AND(ISNUMBER(E11),ISNUMBER(D11)),IF(D11&gt;0,E11/D11,""),"")</f>
        <v/>
      </c>
      <c r="G11" s="33" t="n"/>
      <c r="H11" s="23" t="n"/>
      <c r="I11" s="41" t="n"/>
    </row>
    <row r="12" ht="18" customHeight="1">
      <c r="B12" s="23" t="n"/>
      <c r="C12" s="23" t="n"/>
      <c r="D12" s="33" t="n"/>
      <c r="E12" s="33" t="n"/>
      <c r="F12" s="34">
        <f>IF(AND(ISNUMBER(E12),ISNUMBER(D12)),IF(D12&gt;0,E12/D12,""),"")</f>
        <v/>
      </c>
      <c r="G12" s="33" t="n"/>
      <c r="H12" s="23" t="n"/>
      <c r="I12" s="41" t="n"/>
    </row>
    <row r="13" ht="18" customHeight="1">
      <c r="B13" s="23" t="n"/>
      <c r="C13" s="23" t="n"/>
      <c r="D13" s="33" t="n"/>
      <c r="E13" s="33" t="n"/>
      <c r="F13" s="34">
        <f>IF(AND(ISNUMBER(E13),ISNUMBER(D13)),IF(D13&gt;0,E13/D13,""),"")</f>
        <v/>
      </c>
      <c r="G13" s="33" t="n"/>
      <c r="H13" s="23" t="n"/>
      <c r="I13" s="41" t="n"/>
    </row>
    <row r="14" ht="18" customHeight="1">
      <c r="B14" s="23" t="n"/>
      <c r="C14" s="23" t="n"/>
      <c r="D14" s="33" t="n"/>
      <c r="E14" s="33" t="n"/>
      <c r="F14" s="34">
        <f>IF(AND(ISNUMBER(E14),ISNUMBER(D14)),IF(D14&gt;0,E14/D14,""),"")</f>
        <v/>
      </c>
      <c r="G14" s="33" t="n"/>
      <c r="H14" s="23" t="n"/>
      <c r="I14" s="41" t="n"/>
    </row>
    <row r="15" ht="18" customHeight="1">
      <c r="B15" s="23" t="n"/>
      <c r="C15" s="23" t="n"/>
      <c r="D15" s="33" t="n"/>
      <c r="E15" s="33" t="n"/>
      <c r="F15" s="34">
        <f>IF(AND(ISNUMBER(E15),ISNUMBER(D15)),IF(D15&gt;0,E15/D15,""),"")</f>
        <v/>
      </c>
      <c r="G15" s="33" t="n"/>
      <c r="H15" s="23" t="n"/>
      <c r="I15" s="41" t="n"/>
    </row>
    <row r="16" ht="18" customHeight="1">
      <c r="B16" s="23" t="n"/>
      <c r="C16" s="23" t="n"/>
      <c r="D16" s="33" t="n"/>
      <c r="E16" s="33" t="n"/>
      <c r="F16" s="34">
        <f>IF(AND(ISNUMBER(E16),ISNUMBER(D16)),IF(D16&gt;0,E16/D16,""),"")</f>
        <v/>
      </c>
      <c r="G16" s="33" t="n"/>
      <c r="H16" s="23" t="n"/>
      <c r="I16" s="41" t="n"/>
    </row>
    <row r="17" ht="18" customHeight="1">
      <c r="B17" s="23" t="n"/>
      <c r="C17" s="23" t="n"/>
      <c r="D17" s="33" t="n"/>
      <c r="E17" s="33" t="n"/>
      <c r="F17" s="34">
        <f>IF(AND(ISNUMBER(E17),ISNUMBER(D17)),IF(D17&gt;0,E17/D17,""),"")</f>
        <v/>
      </c>
      <c r="G17" s="33" t="n"/>
      <c r="H17" s="23" t="n"/>
      <c r="I17" s="41" t="n"/>
    </row>
    <row r="18" ht="18" customHeight="1">
      <c r="B18" s="23" t="n"/>
      <c r="C18" s="23" t="n"/>
      <c r="D18" s="33" t="n"/>
      <c r="E18" s="33" t="n"/>
      <c r="F18" s="34">
        <f>IF(AND(ISNUMBER(E18),ISNUMBER(D18)),IF(D18&gt;0,E18/D18,""),"")</f>
        <v/>
      </c>
      <c r="G18" s="33" t="n"/>
      <c r="H18" s="23" t="n"/>
      <c r="I18" s="41" t="n"/>
    </row>
    <row r="19" ht="18" customHeight="1">
      <c r="B19" s="23" t="n"/>
      <c r="C19" s="23" t="n"/>
      <c r="D19" s="33" t="n"/>
      <c r="E19" s="33" t="n"/>
      <c r="F19" s="34">
        <f>IF(AND(ISNUMBER(E19),ISNUMBER(D19)),IF(D19&gt;0,E19/D19,""),"")</f>
        <v/>
      </c>
      <c r="G19" s="33" t="n"/>
      <c r="H19" s="23" t="n"/>
      <c r="I19" s="41" t="n"/>
    </row>
    <row r="20" ht="18" customHeight="1">
      <c r="B20" s="23" t="n"/>
      <c r="C20" s="23" t="n"/>
      <c r="D20" s="33" t="n"/>
      <c r="E20" s="33" t="n"/>
      <c r="F20" s="34">
        <f>IF(AND(ISNUMBER(E20),ISNUMBER(D20)),IF(D20&gt;0,E20/D20,""),"")</f>
        <v/>
      </c>
      <c r="G20" s="33" t="n"/>
      <c r="H20" s="23" t="n"/>
      <c r="I20" s="41" t="n"/>
    </row>
    <row r="21" ht="18" customHeight="1">
      <c r="B21" s="23" t="n"/>
      <c r="C21" s="23" t="n"/>
      <c r="D21" s="33" t="n"/>
      <c r="E21" s="33" t="n"/>
      <c r="F21" s="34">
        <f>IF(AND(ISNUMBER(E21),ISNUMBER(D21)),IF(D21&gt;0,E21/D21,""),"")</f>
        <v/>
      </c>
      <c r="G21" s="33" t="n"/>
      <c r="H21" s="23" t="n"/>
      <c r="I21" s="41" t="n"/>
    </row>
    <row r="22" ht="18" customHeight="1">
      <c r="B22" s="23" t="n"/>
      <c r="C22" s="23" t="n"/>
      <c r="D22" s="33" t="n"/>
      <c r="E22" s="33" t="n"/>
      <c r="F22" s="34">
        <f>IF(AND(ISNUMBER(E22),ISNUMBER(D22)),IF(D22&gt;0,E22/D22,""),"")</f>
        <v/>
      </c>
      <c r="G22" s="33" t="n"/>
      <c r="H22" s="23" t="n"/>
      <c r="I22" s="41" t="n"/>
    </row>
    <row r="23" ht="18" customHeight="1">
      <c r="B23" s="23" t="n"/>
      <c r="C23" s="23" t="n"/>
      <c r="D23" s="33" t="n"/>
      <c r="E23" s="33" t="n"/>
      <c r="F23" s="34">
        <f>IF(AND(ISNUMBER(E23),ISNUMBER(D23)),IF(D23&gt;0,E23/D23,""),"")</f>
        <v/>
      </c>
      <c r="G23" s="33" t="n"/>
      <c r="H23" s="23" t="n"/>
      <c r="I23" s="41" t="n"/>
    </row>
    <row r="24" ht="18" customHeight="1">
      <c r="B24" s="23" t="n"/>
      <c r="C24" s="23" t="n"/>
      <c r="D24" s="33" t="n"/>
      <c r="E24" s="33" t="n"/>
      <c r="F24" s="34">
        <f>IF(AND(ISNUMBER(E24),ISNUMBER(D24)),IF(D24&gt;0,E24/D24,""),"")</f>
        <v/>
      </c>
      <c r="G24" s="33" t="n"/>
      <c r="H24" s="23" t="n"/>
      <c r="I24" s="41" t="n"/>
    </row>
    <row r="25" ht="19.8" customHeight="1">
      <c r="B25" s="36" t="inlineStr">
        <is>
          <t>Total</t>
        </is>
      </c>
      <c r="C25" s="36" t="n"/>
      <c r="D25" s="37">
        <f>SUM(D10:D24)</f>
        <v/>
      </c>
      <c r="E25" s="37">
        <f>SUM(E10:E24)</f>
        <v/>
      </c>
      <c r="F25" s="38">
        <f>IF(AND(ISNUMBER(E25),ISNUMBER(D25)),IF(D25&gt;0,E25/D25,""),"")</f>
        <v/>
      </c>
      <c r="G25" s="37">
        <f>SUM(G10:G24)</f>
        <v/>
      </c>
      <c r="H25" s="36" t="n"/>
      <c r="I25" s="42" t="n"/>
    </row>
    <row r="27" ht="24" customHeight="1">
      <c r="A27" s="7" t="inlineStr">
        <is>
          <t>4.2  Aprobación por intento frente a aprobación por orden</t>
        </is>
      </c>
      <c r="B27" s="4" t="n"/>
      <c r="C27" s="4" t="n"/>
      <c r="D27" s="4" t="n"/>
      <c r="E27" s="4" t="n"/>
      <c r="F27" s="4" t="n"/>
      <c r="G27" s="4" t="n"/>
      <c r="H27" s="4" t="n"/>
      <c r="I27" s="4" t="n"/>
    </row>
    <row r="28" ht="18.42" customHeight="1">
      <c r="A28" s="25" t="inlineStr">
        <is>
          <t>Prioridad A. Área sugerida: Ecommerce. Lo usamos para: aprobación: cuánta venta se pierde después de un rechazo.</t>
        </is>
      </c>
    </row>
    <row r="29" ht="19.8" customHeight="1">
      <c r="B29" s="15" t="inlineStr">
        <is>
          <t>Concepto</t>
        </is>
      </c>
      <c r="C29" s="39" t="n"/>
      <c r="D29" s="39" t="n"/>
      <c r="E29" s="15" t="inlineStr">
        <is>
          <t>Valor</t>
        </is>
      </c>
      <c r="F29" s="15" t="inlineStr">
        <is>
          <t>Comentarios</t>
        </is>
      </c>
      <c r="G29" s="39" t="n"/>
      <c r="H29" s="39" t="n"/>
      <c r="I29" s="39" t="n"/>
    </row>
    <row r="30" ht="19.8" customHeight="1">
      <c r="A30" s="29" t="inlineStr">
        <is>
          <t>Ej.</t>
        </is>
      </c>
      <c r="B30" s="30" t="inlineStr">
        <is>
          <t>Órdenes con pago por tarjeta iniciado (#)</t>
        </is>
      </c>
      <c r="C30" s="40" t="n"/>
      <c r="D30" s="40" t="n"/>
      <c r="E30" s="31" t="n">
        <v>1000</v>
      </c>
      <c r="F30" s="30" t="inlineStr">
        <is>
          <t>Texto libre</t>
        </is>
      </c>
      <c r="G30" s="40" t="n"/>
      <c r="H30" s="40" t="n"/>
      <c r="I30" s="40" t="n"/>
    </row>
    <row r="31" ht="19.8" customHeight="1">
      <c r="B31" s="18" t="inlineStr">
        <is>
          <t>Órdenes con pago por tarjeta iniciado (#)</t>
        </is>
      </c>
      <c r="C31" s="48" t="n"/>
      <c r="D31" s="48" t="n"/>
      <c r="E31" s="33" t="n"/>
      <c r="F31" s="23" t="n"/>
      <c r="G31" s="41" t="n"/>
      <c r="H31" s="41" t="n"/>
      <c r="I31" s="41" t="n"/>
    </row>
    <row r="32" ht="19.8" customHeight="1">
      <c r="B32" s="18" t="inlineStr">
        <is>
          <t>Órdenes aprobadas en el primer intento (#)</t>
        </is>
      </c>
      <c r="C32" s="48" t="n"/>
      <c r="D32" s="48" t="n"/>
      <c r="E32" s="33" t="n"/>
      <c r="F32" s="23" t="n"/>
      <c r="G32" s="41" t="n"/>
      <c r="H32" s="41" t="n"/>
      <c r="I32" s="41" t="n"/>
    </row>
    <row r="33" ht="19.8" customHeight="1">
      <c r="B33" s="18" t="inlineStr">
        <is>
          <t>Órdenes con el primer intento rechazado (#)</t>
        </is>
      </c>
      <c r="C33" s="48" t="n"/>
      <c r="D33" s="48" t="n"/>
      <c r="E33" s="33" t="n"/>
      <c r="F33" s="23" t="n"/>
      <c r="G33" s="41" t="n"/>
      <c r="H33" s="41" t="n"/>
      <c r="I33" s="41" t="n"/>
    </row>
    <row r="34" ht="19.8" customHeight="1">
      <c r="B34" s="18" t="inlineStr">
        <is>
          <t xml:space="preserve">   De esas, recuperadas con la misma tarjeta (#)</t>
        </is>
      </c>
      <c r="C34" s="48" t="n"/>
      <c r="D34" s="48" t="n"/>
      <c r="E34" s="33" t="n"/>
      <c r="F34" s="23" t="n"/>
      <c r="G34" s="41" t="n"/>
      <c r="H34" s="41" t="n"/>
      <c r="I34" s="41" t="n"/>
    </row>
    <row r="35" ht="19.8" customHeight="1">
      <c r="B35" s="18" t="inlineStr">
        <is>
          <t xml:space="preserve">   De esas, recuperadas con otra tarjeta (#)</t>
        </is>
      </c>
      <c r="C35" s="48" t="n"/>
      <c r="D35" s="48" t="n"/>
      <c r="E35" s="33" t="n"/>
      <c r="F35" s="23" t="n"/>
      <c r="G35" s="41" t="n"/>
      <c r="H35" s="41" t="n"/>
      <c r="I35" s="41" t="n"/>
    </row>
    <row r="36" ht="19.8" customHeight="1">
      <c r="B36" s="18" t="inlineStr">
        <is>
          <t xml:space="preserve">   De esas, recuperadas con otro medio de pago, por ejemplo PSE (#)</t>
        </is>
      </c>
      <c r="C36" s="48" t="n"/>
      <c r="D36" s="48" t="n"/>
      <c r="E36" s="33" t="n"/>
      <c r="F36" s="23" t="n"/>
      <c r="G36" s="41" t="n"/>
      <c r="H36" s="41" t="n"/>
      <c r="I36" s="41" t="n"/>
    </row>
    <row r="37" ht="19.8" customHeight="1">
      <c r="B37" s="18" t="inlineStr">
        <is>
          <t xml:space="preserve">   De esas, no recuperadas: venta perdida (#)</t>
        </is>
      </c>
      <c r="C37" s="48" t="n"/>
      <c r="D37" s="48" t="n"/>
      <c r="E37" s="33" t="n"/>
      <c r="F37" s="23" t="n"/>
      <c r="G37" s="41" t="n"/>
      <c r="H37" s="41" t="n"/>
      <c r="I37" s="41" t="n"/>
    </row>
    <row r="38" ht="18" customHeight="1">
      <c r="B38" s="49" t="inlineStr">
        <is>
          <t>Calculado: tasa de aprobación en el primer intento</t>
        </is>
      </c>
      <c r="C38" s="42" t="n"/>
      <c r="D38" s="42" t="n"/>
      <c r="E38" s="38">
        <f>IF(AND(ISNUMBER(E32),ISNUMBER(E31)),IF(E31&gt;0,E32/E31,""),"")</f>
        <v/>
      </c>
      <c r="F38" s="50" t="n"/>
      <c r="G38" s="42" t="n"/>
      <c r="H38" s="42" t="n"/>
      <c r="I38" s="42" t="n"/>
    </row>
    <row r="39" ht="18" customHeight="1">
      <c r="B39" s="49" t="inlineStr">
        <is>
          <t>Calculado: tasa de recuperación de las órdenes con primer intento rechazado</t>
        </is>
      </c>
      <c r="C39" s="42" t="n"/>
      <c r="D39" s="42" t="n"/>
      <c r="E39" s="38">
        <f>IF(AND(ISNUMBER(E33),ISNUMBER(E34),ISNUMBER(E35),ISNUMBER(E36)),IF(E33&gt;0,(E34+E35+E36)/E33,""),"")</f>
        <v/>
      </c>
      <c r="F39" s="50" t="n"/>
      <c r="G39" s="42" t="n"/>
      <c r="H39" s="42" t="n"/>
      <c r="I39" s="42" t="n"/>
    </row>
    <row r="40" ht="18" customHeight="1">
      <c r="B40" s="49" t="inlineStr">
        <is>
          <t>Calculado: órdenes perdidas sobre órdenes iniciadas</t>
        </is>
      </c>
      <c r="C40" s="42" t="n"/>
      <c r="D40" s="42" t="n"/>
      <c r="E40" s="38">
        <f>IF(AND(ISNUMBER(E37),ISNUMBER(E31)),IF(E31&gt;0,E37/E31,""),"")</f>
        <v/>
      </c>
      <c r="F40" s="50" t="n"/>
      <c r="G40" s="42" t="n"/>
      <c r="H40" s="42" t="n"/>
      <c r="I40" s="42" t="n"/>
    </row>
    <row r="42" ht="24" customHeight="1">
      <c r="A42" s="7" t="inlineStr">
        <is>
          <t>Preguntas sobre aprobación</t>
        </is>
      </c>
      <c r="B42" s="4" t="n"/>
      <c r="C42" s="4" t="n"/>
      <c r="D42" s="4" t="n"/>
      <c r="E42" s="4" t="n"/>
      <c r="F42" s="4" t="n"/>
      <c r="G42" s="4" t="n"/>
      <c r="H42" s="4" t="n"/>
      <c r="I42" s="4" t="n"/>
    </row>
    <row r="43" ht="20" customHeight="1">
      <c r="A43" s="15" t="inlineStr">
        <is>
          <t>ID</t>
        </is>
      </c>
      <c r="B43" s="15" t="inlineStr">
        <is>
          <t>Pregunta</t>
        </is>
      </c>
      <c r="C43" s="15" t="inlineStr">
        <is>
          <t>Respuesta de Cruz Verde</t>
        </is>
      </c>
      <c r="D43" s="39" t="n"/>
      <c r="E43" s="39" t="n"/>
      <c r="F43" s="39" t="n"/>
      <c r="G43" s="15" t="inlineStr">
        <is>
          <t>Prioridad</t>
        </is>
      </c>
      <c r="H43" s="15" t="inlineStr">
        <is>
          <t>Dato que tenemos hoy, a confirmar</t>
        </is>
      </c>
      <c r="I43" s="39" t="n"/>
    </row>
    <row r="44" ht="33.59999999999999" customHeight="1">
      <c r="A44" s="43" t="inlineStr">
        <is>
          <t>4.3</t>
        </is>
      </c>
      <c r="B44" s="44" t="inlineStr">
        <is>
          <t>¿La tasa de aprobación que manejan hoy se mide por intento o por orden?</t>
        </is>
      </c>
      <c r="C44" s="45" t="n"/>
      <c r="D44" s="41" t="n"/>
      <c r="E44" s="41" t="n"/>
      <c r="F44" s="41" t="n"/>
      <c r="G44" s="46" t="inlineStr">
        <is>
          <t>A</t>
        </is>
      </c>
      <c r="H44" s="47" t="inlineStr">
        <is>
          <t>Cerca de 90% en tarjetas (reunión del 25 de septiembre).</t>
        </is>
      </c>
      <c r="I44" s="48" t="n"/>
    </row>
    <row r="45" ht="33.59999999999999" customHeight="1">
      <c r="A45" s="43" t="inlineStr">
        <is>
          <t>4.4</t>
        </is>
      </c>
      <c r="B45" s="44" t="inlineStr">
        <is>
          <t>¿Hacen reintentos automáticos cuando un pago es rechazado? Si es así, con qué lógica y cuántas veces.</t>
        </is>
      </c>
      <c r="C45" s="45" t="n"/>
      <c r="D45" s="41" t="n"/>
      <c r="E45" s="41" t="n"/>
      <c r="F45" s="41" t="n"/>
      <c r="G45" s="46" t="inlineStr">
        <is>
          <t>A</t>
        </is>
      </c>
      <c r="H45" s="47" t="inlineStr">
        <is>
          <t>91% de aprobación sin reintentos (llamada del 21 de mayo).</t>
        </is>
      </c>
      <c r="I45" s="48" t="n"/>
    </row>
    <row r="46" ht="33.59999999999999" customHeight="1">
      <c r="A46" s="43" t="inlineStr">
        <is>
          <t>4.5</t>
        </is>
      </c>
      <c r="B46" s="44" t="inlineStr">
        <is>
          <t>¿Qué ve el cliente cuando su pago es rechazado? Indicar si se le ofrece otro medio de pago.</t>
        </is>
      </c>
      <c r="C46" s="45" t="n"/>
      <c r="D46" s="41" t="n"/>
      <c r="E46" s="41" t="n"/>
      <c r="F46" s="41" t="n"/>
      <c r="G46" s="46" t="inlineStr">
        <is>
          <t>B</t>
        </is>
      </c>
      <c r="H46" s="47" t="n"/>
      <c r="I46" s="48" t="n"/>
    </row>
    <row r="47" ht="33.59999999999999" customHeight="1">
      <c r="A47" s="43" t="inlineStr">
        <is>
          <t>4.6</t>
        </is>
      </c>
      <c r="B47" s="44" t="inlineStr">
        <is>
          <t>¿Mercado Pago aplica autenticación 3DS a sus pagos con tarjeta? Indicar a qué porcentaje de los pagos.</t>
        </is>
      </c>
      <c r="C47" s="45" t="n"/>
      <c r="D47" s="41" t="n"/>
      <c r="E47" s="41" t="n"/>
      <c r="F47" s="41" t="n"/>
      <c r="G47" s="46" t="inlineStr">
        <is>
          <t>B</t>
        </is>
      </c>
      <c r="H47" s="47" t="n"/>
      <c r="I47" s="48" t="n"/>
    </row>
    <row r="48" ht="33.59999999999999" customHeight="1">
      <c r="A48" s="43" t="inlineStr">
        <is>
          <t>4.7</t>
        </is>
      </c>
      <c r="B48" s="44" t="inlineStr">
        <is>
          <t>Si aplica 3DS: porcentaje de autenticaciones exitosas, fallidas y abandonadas.</t>
        </is>
      </c>
      <c r="C48" s="45" t="n"/>
      <c r="D48" s="41" t="n"/>
      <c r="E48" s="41" t="n"/>
      <c r="F48" s="41" t="n"/>
      <c r="G48" s="46" t="inlineStr">
        <is>
          <t>C</t>
        </is>
      </c>
      <c r="H48" s="47" t="n"/>
      <c r="I48" s="48" t="n"/>
    </row>
    <row r="49" ht="33.59999999999999" customHeight="1">
      <c r="A49" s="43" t="inlineStr">
        <is>
          <t>4.8</t>
        </is>
      </c>
      <c r="B49" s="44" t="inlineStr">
        <is>
          <t>Patrones de rechazo por hora del día o día de la semana, si los han identificado.</t>
        </is>
      </c>
      <c r="C49" s="45" t="n"/>
      <c r="D49" s="41" t="n"/>
      <c r="E49" s="41" t="n"/>
      <c r="F49" s="41" t="n"/>
      <c r="G49" s="46" t="inlineStr">
        <is>
          <t>C</t>
        </is>
      </c>
      <c r="H49" s="47" t="n"/>
      <c r="I49" s="48" t="n"/>
    </row>
  </sheetData>
  <mergeCells count="65">
    <mergeCell ref="A7:I7"/>
    <mergeCell ref="F31:I31"/>
    <mergeCell ref="C48:F48"/>
    <mergeCell ref="H20:I20"/>
    <mergeCell ref="H10:I10"/>
    <mergeCell ref="F39:I39"/>
    <mergeCell ref="H43:I43"/>
    <mergeCell ref="A27:I27"/>
    <mergeCell ref="F37:I37"/>
    <mergeCell ref="B29:D29"/>
    <mergeCell ref="H44:I44"/>
    <mergeCell ref="H9:I9"/>
    <mergeCell ref="B38:D38"/>
    <mergeCell ref="B34:D34"/>
    <mergeCell ref="H25:I25"/>
    <mergeCell ref="H21:I21"/>
    <mergeCell ref="A2:I2"/>
    <mergeCell ref="B37:D37"/>
    <mergeCell ref="A5:I5"/>
    <mergeCell ref="A42:I42"/>
    <mergeCell ref="H46:I46"/>
    <mergeCell ref="C49:F49"/>
    <mergeCell ref="B40:D40"/>
    <mergeCell ref="H49:I49"/>
    <mergeCell ref="F29:I29"/>
    <mergeCell ref="B30:D30"/>
    <mergeCell ref="F34:I34"/>
    <mergeCell ref="A4:I4"/>
    <mergeCell ref="H17:I17"/>
    <mergeCell ref="B33:D33"/>
    <mergeCell ref="H11:I11"/>
    <mergeCell ref="B36:D36"/>
    <mergeCell ref="F40:I40"/>
    <mergeCell ref="C45:F45"/>
    <mergeCell ref="H16:I16"/>
    <mergeCell ref="A28:I28"/>
    <mergeCell ref="H45:I45"/>
    <mergeCell ref="B32:D32"/>
    <mergeCell ref="B35:D35"/>
    <mergeCell ref="F30:I30"/>
    <mergeCell ref="H19:I19"/>
    <mergeCell ref="H22:I22"/>
    <mergeCell ref="C47:F47"/>
    <mergeCell ref="H47:I47"/>
    <mergeCell ref="H13:I13"/>
    <mergeCell ref="H14:I14"/>
    <mergeCell ref="F33:I33"/>
    <mergeCell ref="C44:F44"/>
    <mergeCell ref="F36:I36"/>
    <mergeCell ref="F32:I32"/>
    <mergeCell ref="H12:I12"/>
    <mergeCell ref="B31:D31"/>
    <mergeCell ref="F35:I35"/>
    <mergeCell ref="H48:I48"/>
    <mergeCell ref="H24:I24"/>
    <mergeCell ref="C43:F43"/>
    <mergeCell ref="H15:I15"/>
    <mergeCell ref="H18:I18"/>
    <mergeCell ref="A1:I1"/>
    <mergeCell ref="C46:F46"/>
    <mergeCell ref="F38:I38"/>
    <mergeCell ref="H23:I23"/>
    <mergeCell ref="A6:I6"/>
    <mergeCell ref="H8:I8"/>
    <mergeCell ref="B39:D39"/>
  </mergeCells>
  <dataValidations count="1">
    <dataValidation sqref="C10 C11 C12 C13 C14 C15 C16 C17 C18 C19 C20 C21 C22 C23 C24" showDropDown="0" showInputMessage="0" showErrorMessage="0" allowBlank="1" error="Elegir una opción de la lista" type="list">
      <formula1>"Crédito,Débito,Ambas"</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3E4FE0"/>
    <outlinePr summaryBelow="1" summaryRight="1"/>
    <pageSetUpPr fitToPage="1"/>
  </sheetPr>
  <dimension ref="A1:I51"/>
  <sheetViews>
    <sheetView showGridLines="0" workbookViewId="0">
      <pane ySplit="2" topLeftCell="A3" activePane="bottomLeft" state="frozen"/>
      <selection pane="bottomLeft" activeCell="A1" sqref="A1"/>
    </sheetView>
  </sheetViews>
  <sheetFormatPr baseColWidth="8" defaultRowHeight="15"/>
  <cols>
    <col width="6" customWidth="1" min="1" max="1"/>
    <col width="44" customWidth="1" min="2" max="2"/>
    <col width="15" customWidth="1" min="3" max="3"/>
    <col width="15" customWidth="1" min="4" max="4"/>
    <col width="15" customWidth="1" min="5" max="5"/>
    <col width="15" customWidth="1" min="6" max="6"/>
    <col width="15" customWidth="1" min="7" max="7"/>
    <col width="15" customWidth="1" min="8" max="8"/>
    <col width="36" customWidth="1" min="9" max="9"/>
  </cols>
  <sheetData>
    <row r="1" ht="34" customHeight="1">
      <c r="A1" s="12" t="inlineStr">
        <is>
          <t>5. Motivos de rechazo en tarjetas</t>
        </is>
      </c>
      <c r="B1" s="2" t="n"/>
      <c r="C1" s="2" t="n"/>
      <c r="D1" s="2" t="n"/>
      <c r="E1" s="2" t="n"/>
      <c r="F1" s="2" t="n"/>
      <c r="G1" s="2" t="n"/>
      <c r="H1" s="2" t="n"/>
      <c r="I1" s="2" t="n"/>
    </row>
    <row r="2" ht="24" customHeight="1">
      <c r="A2" s="24" t="inlineStr">
        <is>
          <t>Período: septiembre de 2025 a agosto de 2026, acumulado. Es la hoja más importante para la parte de aprobación del caso.</t>
        </is>
      </c>
      <c r="B2" s="4" t="n"/>
      <c r="C2" s="4" t="n"/>
      <c r="D2" s="4" t="n"/>
      <c r="E2" s="4" t="n"/>
      <c r="F2" s="4" t="n"/>
      <c r="G2" s="4" t="n"/>
      <c r="H2" s="4" t="n"/>
      <c r="I2" s="4" t="n"/>
    </row>
    <row r="4" ht="24" customHeight="1">
      <c r="A4" s="7" t="inlineStr">
        <is>
          <t>5.1  Rechazos por motivo</t>
        </is>
      </c>
      <c r="B4" s="4" t="n"/>
      <c r="C4" s="4" t="n"/>
      <c r="D4" s="4" t="n"/>
      <c r="E4" s="4" t="n"/>
      <c r="F4" s="4" t="n"/>
      <c r="G4" s="4" t="n"/>
      <c r="H4" s="4" t="n"/>
      <c r="I4" s="4" t="n"/>
    </row>
    <row r="5" ht="18.42" customHeight="1">
      <c r="A5" s="25" t="inlineStr">
        <is>
          <t>Prioridad A. Área sugerida: Ecommerce y TI. Lo usamos para: aprobación: qué parte de los rechazos es recuperable.</t>
        </is>
      </c>
    </row>
    <row r="6" ht="18.42" customHeight="1">
      <c r="A6" s="25" t="inlineStr">
        <is>
          <t>Dato que tenemos hoy, a confirmar: la mayoría de los rechazos son declinaciones definitivas del banco emisor (reunión del 25 de septiembre).</t>
        </is>
      </c>
    </row>
    <row r="7" ht="30.84" customHeight="1">
      <c r="A7" s="25" t="inlineStr">
        <is>
          <t>La clasificación es la propuesta de trabajo de Yuno para este análisis y se puede cambiar con la lista de cada celda. Los códigos son los que documenta Mercado Pago en el campo status_detail. Las cuatro filas en blanco son para motivos que no estén en la lista.</t>
        </is>
      </c>
    </row>
    <row r="8" ht="33.59999999999999" customHeight="1">
      <c r="B8" s="15" t="inlineStr">
        <is>
          <t>Motivo del rechazo</t>
        </is>
      </c>
      <c r="C8" s="15" t="inlineStr">
        <is>
          <t>Código de referencia en Mercado Pago (status_detail)</t>
        </is>
      </c>
      <c r="D8" s="39" t="n"/>
      <c r="E8" s="15" t="inlineStr">
        <is>
          <t>Clasificación</t>
        </is>
      </c>
      <c r="F8" s="15" t="inlineStr">
        <is>
          <t>Rechazos (#)</t>
        </is>
      </c>
      <c r="G8" s="15" t="inlineStr">
        <is>
          <t>Participación en rechazos</t>
        </is>
      </c>
      <c r="H8" s="15" t="inlineStr">
        <is>
          <t>Monto rechazado (COP)</t>
        </is>
      </c>
      <c r="I8" s="15" t="inlineStr">
        <is>
          <t>Comentarios</t>
        </is>
      </c>
    </row>
    <row r="9" ht="19.8" customHeight="1">
      <c r="A9" s="29" t="inlineStr">
        <is>
          <t>Ej.</t>
        </is>
      </c>
      <c r="B9" s="30" t="inlineStr">
        <is>
          <t>Fondos o cupo insuficiente</t>
        </is>
      </c>
      <c r="C9" s="30" t="inlineStr">
        <is>
          <t>cc_rejected_insufficient_amount</t>
        </is>
      </c>
      <c r="D9" s="40" t="n"/>
      <c r="E9" s="30" t="inlineStr">
        <is>
          <t>Temporal (soft)</t>
        </is>
      </c>
      <c r="F9" s="31" t="n">
        <v>300</v>
      </c>
      <c r="G9" s="32" t="n">
        <v>0.3</v>
      </c>
      <c r="H9" s="31" t="n">
        <v>13500000</v>
      </c>
      <c r="I9" s="30" t="inlineStr">
        <is>
          <t>Texto libre</t>
        </is>
      </c>
    </row>
    <row r="10" ht="19.8" customHeight="1">
      <c r="B10" s="18" t="inlineStr">
        <is>
          <t>Fondos o cupo insuficiente</t>
        </is>
      </c>
      <c r="C10" s="51" t="inlineStr">
        <is>
          <t>cc_rejected_insufficient_amount</t>
        </is>
      </c>
      <c r="D10" s="52" t="n"/>
      <c r="E10" s="18" t="inlineStr">
        <is>
          <t>Temporal (soft)</t>
        </is>
      </c>
      <c r="F10" s="33" t="n"/>
      <c r="G10" s="34">
        <f>IF(ISNUMBER(F10),IF(SUM(F$10:F$30)&gt;0,F10/SUM(F$10:F$30),""),"")</f>
        <v/>
      </c>
      <c r="H10" s="33" t="n"/>
      <c r="I10" s="23" t="n"/>
    </row>
    <row r="11" ht="19.8" customHeight="1">
      <c r="B11" s="18" t="inlineStr">
        <is>
          <t>Requiere autorización del banco</t>
        </is>
      </c>
      <c r="C11" s="51" t="inlineStr">
        <is>
          <t>cc_rejected_call_for_authorize</t>
        </is>
      </c>
      <c r="D11" s="52" t="n"/>
      <c r="E11" s="18" t="inlineStr">
        <is>
          <t>Temporal (soft)</t>
        </is>
      </c>
      <c r="F11" s="33" t="n"/>
      <c r="G11" s="34">
        <f>IF(ISNUMBER(F11),IF(SUM(F$10:F$30)&gt;0,F11/SUM(F$10:F$30),""),"")</f>
        <v/>
      </c>
      <c r="H11" s="33" t="n"/>
      <c r="I11" s="23" t="n"/>
    </row>
    <row r="12" ht="19.8" customHeight="1">
      <c r="B12" s="18" t="inlineStr">
        <is>
          <t>Rechazo genérico sin motivo específico</t>
        </is>
      </c>
      <c r="C12" s="51" t="inlineStr">
        <is>
          <t>cc_rejected_other_reason</t>
        </is>
      </c>
      <c r="D12" s="52" t="n"/>
      <c r="E12" s="18" t="inlineStr">
        <is>
          <t>Temporal (soft)</t>
        </is>
      </c>
      <c r="F12" s="33" t="n"/>
      <c r="G12" s="34">
        <f>IF(ISNUMBER(F12),IF(SUM(F$10:F$30)&gt;0,F12/SUM(F$10:F$30),""),"")</f>
        <v/>
      </c>
      <c r="H12" s="33" t="n"/>
      <c r="I12" s="23" t="n"/>
    </row>
    <row r="13" ht="19.8" customHeight="1">
      <c r="B13" s="18" t="inlineStr">
        <is>
          <t>Límite de intentos alcanzado</t>
        </is>
      </c>
      <c r="C13" s="51" t="inlineStr">
        <is>
          <t>cc_rejected_max_attempts</t>
        </is>
      </c>
      <c r="D13" s="52" t="n"/>
      <c r="E13" s="18" t="inlineStr">
        <is>
          <t>Temporal (soft)</t>
        </is>
      </c>
      <c r="F13" s="33" t="n"/>
      <c r="G13" s="34">
        <f>IF(ISNUMBER(F13),IF(SUM(F$10:F$30)&gt;0,F13/SUM(F$10:F$30),""),"")</f>
        <v/>
      </c>
      <c r="H13" s="33" t="n"/>
      <c r="I13" s="23" t="n"/>
    </row>
    <row r="14" ht="33.59999999999999" customHeight="1">
      <c r="B14" s="18" t="inlineStr">
        <is>
          <t>Error técnico o tiempo de espera agotado (banco, red o procesador)</t>
        </is>
      </c>
      <c r="C14" s="51" t="inlineStr">
        <is>
          <t>Sin código propio. Usar el código del banco si lo tienen.</t>
        </is>
      </c>
      <c r="D14" s="52" t="n"/>
      <c r="E14" s="18" t="inlineStr">
        <is>
          <t>Temporal (soft)</t>
        </is>
      </c>
      <c r="F14" s="33" t="n"/>
      <c r="G14" s="34">
        <f>IF(ISNUMBER(F14),IF(SUM(F$10:F$30)&gt;0,F14/SUM(F$10:F$30),""),"")</f>
        <v/>
      </c>
      <c r="H14" s="33" t="n"/>
      <c r="I14" s="23" t="n"/>
    </row>
    <row r="15" ht="19.8" customHeight="1">
      <c r="B15" s="18" t="inlineStr">
        <is>
          <t>Tarjeta inactiva o deshabilitada</t>
        </is>
      </c>
      <c r="C15" s="51" t="inlineStr">
        <is>
          <t>cc_rejected_card_disabled</t>
        </is>
      </c>
      <c r="D15" s="52" t="n"/>
      <c r="E15" s="18" t="inlineStr">
        <is>
          <t>Definitivo (hard)</t>
        </is>
      </c>
      <c r="F15" s="33" t="n"/>
      <c r="G15" s="34">
        <f>IF(ISNUMBER(F15),IF(SUM(F$10:F$30)&gt;0,F15/SUM(F$10:F$30),""),"")</f>
        <v/>
      </c>
      <c r="H15" s="33" t="n"/>
      <c r="I15" s="23" t="n"/>
    </row>
    <row r="16" ht="33.59999999999999" customHeight="1">
      <c r="B16" s="18" t="inlineStr">
        <is>
          <t>Tarjeta vencida</t>
        </is>
      </c>
      <c r="C16" s="51" t="inlineStr">
        <is>
          <t>Sin código propio. Usar el código del banco si lo tienen.</t>
        </is>
      </c>
      <c r="D16" s="52" t="n"/>
      <c r="E16" s="18" t="inlineStr">
        <is>
          <t>Definitivo (hard)</t>
        </is>
      </c>
      <c r="F16" s="33" t="n"/>
      <c r="G16" s="34">
        <f>IF(ISNUMBER(F16),IF(SUM(F$10:F$30)&gt;0,F16/SUM(F$10:F$30),""),"")</f>
        <v/>
      </c>
      <c r="H16" s="33" t="n"/>
      <c r="I16" s="23" t="n"/>
    </row>
    <row r="17" ht="33.59999999999999" customHeight="1">
      <c r="B17" s="18" t="inlineStr">
        <is>
          <t>Tarjeta reportada como robada o perdida</t>
        </is>
      </c>
      <c r="C17" s="51" t="inlineStr">
        <is>
          <t>Sin código propio. Usar el código del banco si lo tienen.</t>
        </is>
      </c>
      <c r="D17" s="52" t="n"/>
      <c r="E17" s="18" t="inlineStr">
        <is>
          <t>Definitivo (hard)</t>
        </is>
      </c>
      <c r="F17" s="33" t="n"/>
      <c r="G17" s="34">
        <f>IF(ISNUMBER(F17),IF(SUM(F$10:F$30)&gt;0,F17/SUM(F$10:F$30),""),"")</f>
        <v/>
      </c>
      <c r="H17" s="33" t="n"/>
      <c r="I17" s="23" t="n"/>
    </row>
    <row r="18" ht="33.59999999999999" customHeight="1">
      <c r="B18" s="18" t="inlineStr">
        <is>
          <t>Cuenta cerrada o tarjeta cancelada</t>
        </is>
      </c>
      <c r="C18" s="51" t="inlineStr">
        <is>
          <t>Sin código propio. Usar el código del banco si lo tienen.</t>
        </is>
      </c>
      <c r="D18" s="52" t="n"/>
      <c r="E18" s="18" t="inlineStr">
        <is>
          <t>Definitivo (hard)</t>
        </is>
      </c>
      <c r="F18" s="33" t="n"/>
      <c r="G18" s="34">
        <f>IF(ISNUMBER(F18),IF(SUM(F$10:F$30)&gt;0,F18/SUM(F$10:F$30),""),"")</f>
        <v/>
      </c>
      <c r="H18" s="33" t="n"/>
      <c r="I18" s="23" t="n"/>
    </row>
    <row r="19" ht="19.8" customHeight="1">
      <c r="B19" s="18" t="inlineStr">
        <is>
          <t>Tarjeta o comprador en lista de bloqueo</t>
        </is>
      </c>
      <c r="C19" s="51" t="inlineStr">
        <is>
          <t>cc_rejected_blacklist</t>
        </is>
      </c>
      <c r="D19" s="52" t="n"/>
      <c r="E19" s="18" t="inlineStr">
        <is>
          <t>Definitivo (hard)</t>
        </is>
      </c>
      <c r="F19" s="33" t="n"/>
      <c r="G19" s="34">
        <f>IF(ISNUMBER(F19),IF(SUM(F$10:F$30)&gt;0,F19/SUM(F$10:F$30),""),"")</f>
        <v/>
      </c>
      <c r="H19" s="33" t="n"/>
      <c r="I19" s="23" t="n"/>
    </row>
    <row r="20" ht="19.8" customHeight="1">
      <c r="B20" s="18" t="inlineStr">
        <is>
          <t>Rechazo por prevención de fraude</t>
        </is>
      </c>
      <c r="C20" s="51" t="inlineStr">
        <is>
          <t>cc_rejected_high_risk</t>
        </is>
      </c>
      <c r="D20" s="52" t="n"/>
      <c r="E20" s="18" t="inlineStr">
        <is>
          <t>Riesgo</t>
        </is>
      </c>
      <c r="F20" s="33" t="n"/>
      <c r="G20" s="34">
        <f>IF(ISNUMBER(F20),IF(SUM(F$10:F$30)&gt;0,F20/SUM(F$10:F$30),""),"")</f>
        <v/>
      </c>
      <c r="H20" s="33" t="n"/>
      <c r="I20" s="23" t="n"/>
    </row>
    <row r="21" ht="33.59999999999999" customHeight="1">
      <c r="B21" s="18" t="inlineStr">
        <is>
          <t>Número de tarjeta mal digitado</t>
        </is>
      </c>
      <c r="C21" s="51" t="inlineStr">
        <is>
          <t>cc_rejected_bad_filled_card_number</t>
        </is>
      </c>
      <c r="D21" s="52" t="n"/>
      <c r="E21" s="18" t="inlineStr">
        <is>
          <t>Datos del comprador</t>
        </is>
      </c>
      <c r="F21" s="33" t="n"/>
      <c r="G21" s="34">
        <f>IF(ISNUMBER(F21),IF(SUM(F$10:F$30)&gt;0,F21/SUM(F$10:F$30),""),"")</f>
        <v/>
      </c>
      <c r="H21" s="33" t="n"/>
      <c r="I21" s="23" t="n"/>
    </row>
    <row r="22" ht="33.59999999999999" customHeight="1">
      <c r="B22" s="18" t="inlineStr">
        <is>
          <t>Fecha de vencimiento mal digitada</t>
        </is>
      </c>
      <c r="C22" s="51" t="inlineStr">
        <is>
          <t>cc_rejected_bad_filled_date</t>
        </is>
      </c>
      <c r="D22" s="52" t="n"/>
      <c r="E22" s="18" t="inlineStr">
        <is>
          <t>Datos del comprador</t>
        </is>
      </c>
      <c r="F22" s="33" t="n"/>
      <c r="G22" s="34">
        <f>IF(ISNUMBER(F22),IF(SUM(F$10:F$30)&gt;0,F22/SUM(F$10:F$30),""),"")</f>
        <v/>
      </c>
      <c r="H22" s="33" t="n"/>
      <c r="I22" s="23" t="n"/>
    </row>
    <row r="23" ht="33.59999999999999" customHeight="1">
      <c r="B23" s="18" t="inlineStr">
        <is>
          <t>Código de seguridad mal digitado</t>
        </is>
      </c>
      <c r="C23" s="51" t="inlineStr">
        <is>
          <t>cc_rejected_bad_filled_security_code</t>
        </is>
      </c>
      <c r="D23" s="52" t="n"/>
      <c r="E23" s="18" t="inlineStr">
        <is>
          <t>Datos del comprador</t>
        </is>
      </c>
      <c r="F23" s="33" t="n"/>
      <c r="G23" s="34">
        <f>IF(ISNUMBER(F23),IF(SUM(F$10:F$30)&gt;0,F23/SUM(F$10:F$30),""),"")</f>
        <v/>
      </c>
      <c r="H23" s="33" t="n"/>
      <c r="I23" s="23" t="n"/>
    </row>
    <row r="24" ht="33.59999999999999" customHeight="1">
      <c r="B24" s="18" t="inlineStr">
        <is>
          <t>Otros datos mal digitados</t>
        </is>
      </c>
      <c r="C24" s="51" t="inlineStr">
        <is>
          <t>cc_rejected_bad_filled_other</t>
        </is>
      </c>
      <c r="D24" s="52" t="n"/>
      <c r="E24" s="18" t="inlineStr">
        <is>
          <t>Datos del comprador</t>
        </is>
      </c>
      <c r="F24" s="33" t="n"/>
      <c r="G24" s="34">
        <f>IF(ISNUMBER(F24),IF(SUM(F$10:F$30)&gt;0,F24/SUM(F$10:F$30),""),"")</f>
        <v/>
      </c>
      <c r="H24" s="33" t="n"/>
      <c r="I24" s="23" t="n"/>
    </row>
    <row r="25" ht="33.59999999999999" customHeight="1">
      <c r="B25" s="18" t="inlineStr">
        <is>
          <t>Número de cuotas no válido</t>
        </is>
      </c>
      <c r="C25" s="51" t="inlineStr">
        <is>
          <t>cc_rejected_invalid_installments</t>
        </is>
      </c>
      <c r="D25" s="52" t="n"/>
      <c r="E25" s="18" t="inlineStr">
        <is>
          <t>Datos del comprador</t>
        </is>
      </c>
      <c r="F25" s="33" t="n"/>
      <c r="G25" s="34">
        <f>IF(ISNUMBER(F25),IF(SUM(F$10:F$30)&gt;0,F25/SUM(F$10:F$30),""),"")</f>
        <v/>
      </c>
      <c r="H25" s="33" t="n"/>
      <c r="I25" s="23" t="n"/>
    </row>
    <row r="26" ht="19.8" customHeight="1">
      <c r="B26" s="18" t="inlineStr">
        <is>
          <t>Pago duplicado</t>
        </is>
      </c>
      <c r="C26" s="51" t="inlineStr">
        <is>
          <t>cc_rejected_duplicated_payment</t>
        </is>
      </c>
      <c r="D26" s="52" t="n"/>
      <c r="E26" s="18" t="inlineStr">
        <is>
          <t>Otro</t>
        </is>
      </c>
      <c r="F26" s="33" t="n"/>
      <c r="G26" s="34">
        <f>IF(ISNUMBER(F26),IF(SUM(F$10:F$30)&gt;0,F26/SUM(F$10:F$30),""),"")</f>
        <v/>
      </c>
      <c r="H26" s="33" t="n"/>
      <c r="I26" s="23" t="n"/>
    </row>
    <row r="27" ht="18" customHeight="1">
      <c r="B27" s="23" t="n"/>
      <c r="C27" s="23" t="n"/>
      <c r="D27" s="41" t="n"/>
      <c r="E27" s="23" t="n"/>
      <c r="F27" s="33" t="n"/>
      <c r="G27" s="34">
        <f>IF(ISNUMBER(F27),IF(SUM(F$10:F$30)&gt;0,F27/SUM(F$10:F$30),""),"")</f>
        <v/>
      </c>
      <c r="H27" s="33" t="n"/>
      <c r="I27" s="23" t="n"/>
    </row>
    <row r="28" ht="18" customHeight="1">
      <c r="B28" s="23" t="n"/>
      <c r="C28" s="23" t="n"/>
      <c r="D28" s="41" t="n"/>
      <c r="E28" s="23" t="n"/>
      <c r="F28" s="33" t="n"/>
      <c r="G28" s="34">
        <f>IF(ISNUMBER(F28),IF(SUM(F$10:F$30)&gt;0,F28/SUM(F$10:F$30),""),"")</f>
        <v/>
      </c>
      <c r="H28" s="33" t="n"/>
      <c r="I28" s="23" t="n"/>
    </row>
    <row r="29" ht="18" customHeight="1">
      <c r="B29" s="23" t="n"/>
      <c r="C29" s="23" t="n"/>
      <c r="D29" s="41" t="n"/>
      <c r="E29" s="23" t="n"/>
      <c r="F29" s="33" t="n"/>
      <c r="G29" s="34">
        <f>IF(ISNUMBER(F29),IF(SUM(F$10:F$30)&gt;0,F29/SUM(F$10:F$30),""),"")</f>
        <v/>
      </c>
      <c r="H29" s="33" t="n"/>
      <c r="I29" s="23" t="n"/>
    </row>
    <row r="30" ht="18" customHeight="1">
      <c r="B30" s="23" t="n"/>
      <c r="C30" s="23" t="n"/>
      <c r="D30" s="41" t="n"/>
      <c r="E30" s="23" t="n"/>
      <c r="F30" s="33" t="n"/>
      <c r="G30" s="34">
        <f>IF(ISNUMBER(F30),IF(SUM(F$10:F$30)&gt;0,F30/SUM(F$10:F$30),""),"")</f>
        <v/>
      </c>
      <c r="H30" s="33" t="n"/>
      <c r="I30" s="23" t="n"/>
    </row>
    <row r="31" ht="19.8" customHeight="1">
      <c r="B31" s="36" t="inlineStr">
        <is>
          <t>Total</t>
        </is>
      </c>
      <c r="C31" s="36" t="n"/>
      <c r="D31" s="42" t="n"/>
      <c r="E31" s="36" t="n"/>
      <c r="F31" s="37">
        <f>SUM(F10:F30)</f>
        <v/>
      </c>
      <c r="G31" s="38" t="n"/>
      <c r="H31" s="37">
        <f>SUM(H10:H30)</f>
        <v/>
      </c>
      <c r="I31" s="36" t="n"/>
    </row>
    <row r="33" ht="24" customHeight="1">
      <c r="A33" s="7" t="inlineStr">
        <is>
          <t>5.2  Separación entre rechazos definitivos y temporales</t>
        </is>
      </c>
      <c r="B33" s="4" t="n"/>
      <c r="C33" s="4" t="n"/>
      <c r="D33" s="4" t="n"/>
      <c r="E33" s="4" t="n"/>
      <c r="F33" s="4" t="n"/>
      <c r="G33" s="4" t="n"/>
      <c r="H33" s="4" t="n"/>
      <c r="I33" s="4" t="n"/>
    </row>
    <row r="34" ht="18.42" customHeight="1">
      <c r="A34" s="25" t="inlineStr">
        <is>
          <t>Prioridad A. Área sugerida: Ecommerce y TI. Lo usamos para: aprobación: el potencial real de recuperación.</t>
        </is>
      </c>
    </row>
    <row r="35" ht="18.42" customHeight="1">
      <c r="A35" s="25" t="inlineStr">
        <is>
          <t>Dato que tenemos hoy, a confirmar: la mayoría de los rechazos son declinaciones definitivas del banco emisor (reunión del 25 de septiembre).</t>
        </is>
      </c>
    </row>
    <row r="36" ht="18.42" customHeight="1">
      <c r="A36" s="25" t="inlineStr">
        <is>
          <t>Si ya tienen su propia separación, escríbanla en la columna "Según Cruz Verde". Las columnas calculadas se llenan solas con la tabla 5.1 y sirven para contrastar las dos lecturas.</t>
        </is>
      </c>
    </row>
    <row r="37" ht="33.59999999999999" customHeight="1">
      <c r="B37" s="15" t="inlineStr">
        <is>
          <t>Tipo de rechazo</t>
        </is>
      </c>
      <c r="C37" s="15" t="inlineStr">
        <is>
          <t>Qué significa</t>
        </is>
      </c>
      <c r="D37" s="39" t="n"/>
      <c r="E37" s="15" t="inlineStr">
        <is>
          <t>Según Cruz Verde: rechazos (#)</t>
        </is>
      </c>
      <c r="F37" s="15" t="inlineStr">
        <is>
          <t>Según Cruz Verde: participación</t>
        </is>
      </c>
      <c r="G37" s="15" t="inlineStr">
        <is>
          <t>Calculado desde la tabla 5.1 (#)</t>
        </is>
      </c>
      <c r="H37" s="15" t="inlineStr">
        <is>
          <t>Calculado: participación</t>
        </is>
      </c>
      <c r="I37" s="15" t="inlineStr">
        <is>
          <t>Comentarios</t>
        </is>
      </c>
    </row>
    <row r="38" ht="47.4" customHeight="1">
      <c r="B38" s="18" t="inlineStr">
        <is>
          <t>Definitivo (hard)</t>
        </is>
      </c>
      <c r="C38" s="27" t="inlineStr">
        <is>
          <t>El banco indica que esa tarjeta no puede aprobar. Reintentar con la misma tarjeta no cambia el resultado.</t>
        </is>
      </c>
      <c r="D38" s="48" t="n"/>
      <c r="E38" s="33" t="n"/>
      <c r="F38" s="34">
        <f>IF(ISNUMBER(E38),IF(SUM(E$38:E$42)&gt;0,E38/SUM(E$38:E$42),""),"")</f>
        <v/>
      </c>
      <c r="G38" s="35">
        <f>SUMIF($E$10:$E$30,B38,$F$10:$F$30)</f>
        <v/>
      </c>
      <c r="H38" s="34">
        <f>IF(ISNUMBER(G38),IF(SUM(G$38:G$42)&gt;0,G38/SUM(G$38:G$42),""),"")</f>
        <v/>
      </c>
      <c r="I38" s="23" t="n"/>
    </row>
    <row r="39" ht="47.4" customHeight="1">
      <c r="B39" s="18" t="inlineStr">
        <is>
          <t>Temporal (soft)</t>
        </is>
      </c>
      <c r="C39" s="27" t="inlineStr">
        <is>
          <t>Depende del momento o de la ruta. Puede aprobarse con un reintento, por otro procesador o más tarde.</t>
        </is>
      </c>
      <c r="D39" s="48" t="n"/>
      <c r="E39" s="33" t="n"/>
      <c r="F39" s="34">
        <f>IF(ISNUMBER(E39),IF(SUM(E$38:E$42)&gt;0,E39/SUM(E$38:E$42),""),"")</f>
        <v/>
      </c>
      <c r="G39" s="35">
        <f>SUMIF($E$10:$E$30,B39,$F$10:$F$30)</f>
        <v/>
      </c>
      <c r="H39" s="34">
        <f>IF(ISNUMBER(G39),IF(SUM(G$38:G$42)&gt;0,G39/SUM(G$38:G$42),""),"")</f>
        <v/>
      </c>
      <c r="I39" s="23" t="n"/>
    </row>
    <row r="40" ht="47.4" customHeight="1">
      <c r="B40" s="18" t="inlineStr">
        <is>
          <t>Riesgo</t>
        </is>
      </c>
      <c r="C40" s="27" t="inlineStr">
        <is>
          <t>El pago lo detuvo el motor de prevención de fraude del proveedor o del banco.</t>
        </is>
      </c>
      <c r="D40" s="48" t="n"/>
      <c r="E40" s="33" t="n"/>
      <c r="F40" s="34">
        <f>IF(ISNUMBER(E40),IF(SUM(E$38:E$42)&gt;0,E40/SUM(E$38:E$42),""),"")</f>
        <v/>
      </c>
      <c r="G40" s="35">
        <f>SUMIF($E$10:$E$30,B40,$F$10:$F$30)</f>
        <v/>
      </c>
      <c r="H40" s="34">
        <f>IF(ISNUMBER(G40),IF(SUM(G$38:G$42)&gt;0,G40/SUM(G$38:G$42),""),"")</f>
        <v/>
      </c>
      <c r="I40" s="23" t="n"/>
    </row>
    <row r="41" ht="33.59999999999999" customHeight="1">
      <c r="B41" s="18" t="inlineStr">
        <is>
          <t>Datos del comprador</t>
        </is>
      </c>
      <c r="C41" s="27" t="inlineStr">
        <is>
          <t>El cliente digitó mal un dato. Se corrige en el checkout.</t>
        </is>
      </c>
      <c r="D41" s="48" t="n"/>
      <c r="E41" s="33" t="n"/>
      <c r="F41" s="34">
        <f>IF(ISNUMBER(E41),IF(SUM(E$38:E$42)&gt;0,E41/SUM(E$38:E$42),""),"")</f>
        <v/>
      </c>
      <c r="G41" s="35">
        <f>SUMIF($E$10:$E$30,B41,$F$10:$F$30)</f>
        <v/>
      </c>
      <c r="H41" s="34">
        <f>IF(ISNUMBER(G41),IF(SUM(G$38:G$42)&gt;0,G41/SUM(G$38:G$42),""),"")</f>
        <v/>
      </c>
      <c r="I41" s="23" t="n"/>
    </row>
    <row r="42" ht="33.59999999999999" customHeight="1">
      <c r="B42" s="18" t="inlineStr">
        <is>
          <t>Otro</t>
        </is>
      </c>
      <c r="C42" s="27" t="inlineStr">
        <is>
          <t>Motivos que no entran en las categorías anteriores.</t>
        </is>
      </c>
      <c r="D42" s="48" t="n"/>
      <c r="E42" s="33" t="n"/>
      <c r="F42" s="34">
        <f>IF(ISNUMBER(E42),IF(SUM(E$38:E$42)&gt;0,E42/SUM(E$38:E$42),""),"")</f>
        <v/>
      </c>
      <c r="G42" s="35">
        <f>SUMIF($E$10:$E$30,B42,$F$10:$F$30)</f>
        <v/>
      </c>
      <c r="H42" s="34">
        <f>IF(ISNUMBER(G42),IF(SUM(G$38:G$42)&gt;0,G42/SUM(G$38:G$42),""),"")</f>
        <v/>
      </c>
      <c r="I42" s="23" t="n"/>
    </row>
    <row r="43" ht="19.8" customHeight="1">
      <c r="B43" s="36" t="inlineStr">
        <is>
          <t>Total</t>
        </is>
      </c>
      <c r="C43" s="36" t="n"/>
      <c r="D43" s="42" t="n"/>
      <c r="E43" s="37">
        <f>SUM(E38:E42)</f>
        <v/>
      </c>
      <c r="F43" s="38" t="n"/>
      <c r="G43" s="37" t="n"/>
      <c r="H43" s="38" t="n"/>
      <c r="I43" s="36" t="n"/>
    </row>
    <row r="45" ht="24" customHeight="1">
      <c r="A45" s="7" t="inlineStr">
        <is>
          <t>Preguntas sobre rechazos</t>
        </is>
      </c>
      <c r="B45" s="4" t="n"/>
      <c r="C45" s="4" t="n"/>
      <c r="D45" s="4" t="n"/>
      <c r="E45" s="4" t="n"/>
      <c r="F45" s="4" t="n"/>
      <c r="G45" s="4" t="n"/>
      <c r="H45" s="4" t="n"/>
      <c r="I45" s="4" t="n"/>
    </row>
    <row r="46" ht="20" customHeight="1">
      <c r="A46" s="15" t="inlineStr">
        <is>
          <t>ID</t>
        </is>
      </c>
      <c r="B46" s="15" t="inlineStr">
        <is>
          <t>Pregunta</t>
        </is>
      </c>
      <c r="C46" s="15" t="inlineStr">
        <is>
          <t>Respuesta de Cruz Verde</t>
        </is>
      </c>
      <c r="D46" s="39" t="n"/>
      <c r="E46" s="39" t="n"/>
      <c r="F46" s="39" t="n"/>
      <c r="G46" s="15" t="inlineStr">
        <is>
          <t>Prioridad</t>
        </is>
      </c>
      <c r="H46" s="15" t="inlineStr">
        <is>
          <t>Dato que tenemos hoy, a confirmar</t>
        </is>
      </c>
      <c r="I46" s="39" t="n"/>
    </row>
    <row r="47" ht="47.4" customHeight="1">
      <c r="A47" s="43" t="inlineStr">
        <is>
          <t>5.3</t>
        </is>
      </c>
      <c r="B47" s="44" t="inlineStr">
        <is>
          <t>¿De dónde sale hoy la clasificación de un rechazo como definitivo? Por ejemplo: reporte de Mercado Pago, análisis interno, información del banco.</t>
        </is>
      </c>
      <c r="C47" s="45" t="n"/>
      <c r="D47" s="41" t="n"/>
      <c r="E47" s="41" t="n"/>
      <c r="F47" s="41" t="n"/>
      <c r="G47" s="46" t="inlineStr">
        <is>
          <t>A</t>
        </is>
      </c>
      <c r="H47" s="47" t="inlineStr">
        <is>
          <t>La mayoría de los rechazos son declinaciones definitivas del banco emisor (reunión del 25 de septiembre).</t>
        </is>
      </c>
      <c r="I47" s="48" t="n"/>
    </row>
    <row r="48" ht="33.59999999999999" customHeight="1">
      <c r="A48" s="43" t="inlineStr">
        <is>
          <t>5.4</t>
        </is>
      </c>
      <c r="B48" s="44" t="inlineStr">
        <is>
          <t>¿Tienen acceso al código de respuesta original del banco emisor o solo al motivo que entrega Mercado Pago?</t>
        </is>
      </c>
      <c r="C48" s="45" t="n"/>
      <c r="D48" s="41" t="n"/>
      <c r="E48" s="41" t="n"/>
      <c r="F48" s="41" t="n"/>
      <c r="G48" s="46" t="inlineStr">
        <is>
          <t>A</t>
        </is>
      </c>
      <c r="H48" s="47" t="n"/>
      <c r="I48" s="48" t="n"/>
    </row>
    <row r="49" ht="33.59999999999999" customHeight="1">
      <c r="A49" s="43" t="inlineStr">
        <is>
          <t>5.5</t>
        </is>
      </c>
      <c r="B49" s="44" t="inlineStr">
        <is>
          <t>Rechazos por prevención de fraude: ¿pueden ajustar las reglas o es una decisión cerrada del proveedor?</t>
        </is>
      </c>
      <c r="C49" s="45" t="n"/>
      <c r="D49" s="41" t="n"/>
      <c r="E49" s="41" t="n"/>
      <c r="F49" s="41" t="n"/>
      <c r="G49" s="46" t="inlineStr">
        <is>
          <t>B</t>
        </is>
      </c>
      <c r="H49" s="47" t="inlineStr">
        <is>
          <t>Fraude por debajo de 0,05% (llamada del 21 de mayo).</t>
        </is>
      </c>
      <c r="I49" s="48" t="n"/>
    </row>
    <row r="50" ht="33.59999999999999" customHeight="1">
      <c r="A50" s="43" t="inlineStr">
        <is>
          <t>5.6</t>
        </is>
      </c>
      <c r="B50" s="44" t="inlineStr">
        <is>
          <t>¿Los rechazos se concentran en algún rango de ticket, canal o tipo de tarjeta?</t>
        </is>
      </c>
      <c r="C50" s="45" t="n"/>
      <c r="D50" s="41" t="n"/>
      <c r="E50" s="41" t="n"/>
      <c r="F50" s="41" t="n"/>
      <c r="G50" s="46" t="inlineStr">
        <is>
          <t>B</t>
        </is>
      </c>
      <c r="H50" s="47" t="n"/>
      <c r="I50" s="48" t="n"/>
    </row>
    <row r="51" ht="33.59999999999999" customHeight="1">
      <c r="A51" s="43" t="inlineStr">
        <is>
          <t>5.7</t>
        </is>
      </c>
      <c r="B51" s="44" t="inlineStr">
        <is>
          <t>¿Han medido cuántos clientes con pago rechazado terminan comprando en tienda física o no compran?</t>
        </is>
      </c>
      <c r="C51" s="45" t="n"/>
      <c r="D51" s="41" t="n"/>
      <c r="E51" s="41" t="n"/>
      <c r="F51" s="41" t="n"/>
      <c r="G51" s="46" t="inlineStr">
        <is>
          <t>C</t>
        </is>
      </c>
      <c r="H51" s="47" t="n"/>
      <c r="I51" s="48" t="n"/>
    </row>
  </sheetData>
  <mergeCells count="54">
    <mergeCell ref="A7:I7"/>
    <mergeCell ref="C48:F48"/>
    <mergeCell ref="C24:D24"/>
    <mergeCell ref="C30:D30"/>
    <mergeCell ref="C15:D15"/>
    <mergeCell ref="C42:D42"/>
    <mergeCell ref="C14:D14"/>
    <mergeCell ref="H50:I50"/>
    <mergeCell ref="C26:D26"/>
    <mergeCell ref="C20:D20"/>
    <mergeCell ref="A2:I2"/>
    <mergeCell ref="C10:D10"/>
    <mergeCell ref="C16:D16"/>
    <mergeCell ref="C29:D29"/>
    <mergeCell ref="A5:I5"/>
    <mergeCell ref="A33:I33"/>
    <mergeCell ref="C25:D25"/>
    <mergeCell ref="H46:I46"/>
    <mergeCell ref="C41:D41"/>
    <mergeCell ref="C49:F49"/>
    <mergeCell ref="H49:I49"/>
    <mergeCell ref="H51:I51"/>
    <mergeCell ref="C22:D22"/>
    <mergeCell ref="C40:D40"/>
    <mergeCell ref="C9:D9"/>
    <mergeCell ref="C31:D31"/>
    <mergeCell ref="A4:I4"/>
    <mergeCell ref="A35:I35"/>
    <mergeCell ref="C43:D43"/>
    <mergeCell ref="C12:D12"/>
    <mergeCell ref="C21:D21"/>
    <mergeCell ref="C11:D11"/>
    <mergeCell ref="C27:D27"/>
    <mergeCell ref="A34:I34"/>
    <mergeCell ref="C47:F47"/>
    <mergeCell ref="C17:D17"/>
    <mergeCell ref="C23:D23"/>
    <mergeCell ref="C39:D39"/>
    <mergeCell ref="C8:D8"/>
    <mergeCell ref="H47:I47"/>
    <mergeCell ref="C50:F50"/>
    <mergeCell ref="C38:D38"/>
    <mergeCell ref="H48:I48"/>
    <mergeCell ref="A36:I36"/>
    <mergeCell ref="C19:D19"/>
    <mergeCell ref="C37:D37"/>
    <mergeCell ref="A1:I1"/>
    <mergeCell ref="A45:I45"/>
    <mergeCell ref="C28:D28"/>
    <mergeCell ref="C46:F46"/>
    <mergeCell ref="C13:D13"/>
    <mergeCell ref="A6:I6"/>
    <mergeCell ref="C18:D18"/>
    <mergeCell ref="C51:F51"/>
  </mergeCells>
  <dataValidations count="1">
    <dataValidation sqref="E10 E11 E12 E13 E14 E15 E16 E17 E18 E19 E20 E21 E22 E23 E24 E25 E26 E27 E28 E29 E30" showDropDown="0" showInputMessage="0" showErrorMessage="0" allowBlank="1" error="Elegir una opción de la lista" type="list">
      <formula1>"Definitivo (hard),Temporal (soft),Riesgo,Datos del comprador,Otro"</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3E4FE0"/>
    <outlinePr summaryBelow="1" summaryRight="1"/>
    <pageSetUpPr fitToPage="1"/>
  </sheetPr>
  <dimension ref="A1:I44"/>
  <sheetViews>
    <sheetView showGridLines="0" workbookViewId="0">
      <pane ySplit="2" topLeftCell="A3" activePane="bottomLeft" state="frozen"/>
      <selection pane="bottomLeft" activeCell="A1" sqref="A1"/>
    </sheetView>
  </sheetViews>
  <sheetFormatPr baseColWidth="8" defaultRowHeight="15"/>
  <cols>
    <col width="6" customWidth="1" min="1" max="1"/>
    <col width="44" customWidth="1" min="2" max="2"/>
    <col width="15" customWidth="1" min="3" max="3"/>
    <col width="15" customWidth="1" min="4" max="4"/>
    <col width="15" customWidth="1" min="5" max="5"/>
    <col width="15" customWidth="1" min="6" max="6"/>
    <col width="15" customWidth="1" min="7" max="7"/>
    <col width="15" customWidth="1" min="8" max="8"/>
    <col width="36" customWidth="1" min="9" max="9"/>
  </cols>
  <sheetData>
    <row r="1" ht="34" customHeight="1">
      <c r="A1" s="12" t="inlineStr">
        <is>
          <t>6. PSE y efectivo</t>
        </is>
      </c>
      <c r="B1" s="2" t="n"/>
      <c r="C1" s="2" t="n"/>
      <c r="D1" s="2" t="n"/>
      <c r="E1" s="2" t="n"/>
      <c r="F1" s="2" t="n"/>
      <c r="G1" s="2" t="n"/>
      <c r="H1" s="2" t="n"/>
      <c r="I1" s="2" t="n"/>
    </row>
    <row r="2" ht="24" customHeight="1">
      <c r="A2" s="24" t="inlineStr">
        <is>
          <t>Período: septiembre de 2025 a agosto de 2026, acumulado. Cifras en COP.</t>
        </is>
      </c>
      <c r="B2" s="4" t="n"/>
      <c r="C2" s="4" t="n"/>
      <c r="D2" s="4" t="n"/>
      <c r="E2" s="4" t="n"/>
      <c r="F2" s="4" t="n"/>
      <c r="G2" s="4" t="n"/>
      <c r="H2" s="4" t="n"/>
      <c r="I2" s="4" t="n"/>
    </row>
    <row r="4" ht="24" customHeight="1">
      <c r="A4" s="7" t="inlineStr">
        <is>
          <t>6.1  Embudo de pagos por PSE</t>
        </is>
      </c>
      <c r="B4" s="4" t="n"/>
      <c r="C4" s="4" t="n"/>
      <c r="D4" s="4" t="n"/>
      <c r="E4" s="4" t="n"/>
      <c r="F4" s="4" t="n"/>
      <c r="G4" s="4" t="n"/>
      <c r="H4" s="4" t="n"/>
      <c r="I4" s="4" t="n"/>
    </row>
    <row r="5" ht="18.42" customHeight="1">
      <c r="A5" s="25" t="inlineStr">
        <is>
          <t>Prioridad A. Área sugerida: Ecommerce y TI. Lo usamos para: aprobación real de PSE y continuidad.</t>
        </is>
      </c>
    </row>
    <row r="6" ht="18.42" customHeight="1">
      <c r="A6" s="25" t="inlineStr">
        <is>
          <t>Dato que tenemos hoy, a confirmar: aprobación por PSE cercana a 100% (reunión del 25 de septiembre). Queremos confirmar si se mide sobre pagos iniciados o sobre pagos finalizados.</t>
        </is>
      </c>
    </row>
    <row r="7" ht="33.59999999999999" customHeight="1">
      <c r="B7" s="15" t="inlineStr">
        <is>
          <t>Etapa</t>
        </is>
      </c>
      <c r="C7" s="39" t="n"/>
      <c r="D7" s="39" t="n"/>
      <c r="E7" s="15" t="inlineStr">
        <is>
          <t>Transacciones (#)</t>
        </is>
      </c>
      <c r="F7" s="15" t="inlineStr">
        <is>
          <t>Porcentaje sobre iniciados</t>
        </is>
      </c>
      <c r="G7" s="15" t="inlineStr">
        <is>
          <t>Monto (COP)</t>
        </is>
      </c>
      <c r="H7" s="15" t="inlineStr">
        <is>
          <t>Comentarios</t>
        </is>
      </c>
      <c r="I7" s="39" t="n"/>
    </row>
    <row r="8" ht="19.8" customHeight="1">
      <c r="A8" s="29" t="inlineStr">
        <is>
          <t>Ej.</t>
        </is>
      </c>
      <c r="B8" s="30" t="inlineStr">
        <is>
          <t>Aprobados</t>
        </is>
      </c>
      <c r="C8" s="40" t="n"/>
      <c r="D8" s="40" t="n"/>
      <c r="E8" s="31" t="n">
        <v>900</v>
      </c>
      <c r="F8" s="32" t="n">
        <v>0.9</v>
      </c>
      <c r="G8" s="31" t="n">
        <v>45000000</v>
      </c>
      <c r="H8" s="30" t="inlineStr">
        <is>
          <t>Texto libre</t>
        </is>
      </c>
      <c r="I8" s="40" t="n"/>
    </row>
    <row r="9" ht="19.8" customHeight="1">
      <c r="B9" s="18" t="inlineStr">
        <is>
          <t>Pagos PSE iniciados: el cliente eligió PSE y fue enviado a su banco</t>
        </is>
      </c>
      <c r="C9" s="48" t="n"/>
      <c r="D9" s="48" t="n"/>
      <c r="E9" s="33" t="n"/>
      <c r="F9" s="34">
        <f>IF(AND(ISNUMBER(E9),ISNUMBER(E$9)),IF(E$9&gt;0,E9/E$9,""),"")</f>
        <v/>
      </c>
      <c r="G9" s="33" t="n"/>
      <c r="H9" s="23" t="n"/>
      <c r="I9" s="41" t="n"/>
    </row>
    <row r="10" ht="19.8" customHeight="1">
      <c r="B10" s="18" t="inlineStr">
        <is>
          <t>Aprobados</t>
        </is>
      </c>
      <c r="C10" s="48" t="n"/>
      <c r="D10" s="48" t="n"/>
      <c r="E10" s="33" t="n"/>
      <c r="F10" s="34">
        <f>IF(AND(ISNUMBER(E10),ISNUMBER(E$9)),IF(E$9&gt;0,E10/E$9,""),"")</f>
        <v/>
      </c>
      <c r="G10" s="33" t="n"/>
      <c r="H10" s="23" t="n"/>
      <c r="I10" s="41" t="n"/>
    </row>
    <row r="11" ht="19.8" customHeight="1">
      <c r="B11" s="18" t="inlineStr">
        <is>
          <t>Rechazados por el banco</t>
        </is>
      </c>
      <c r="C11" s="48" t="n"/>
      <c r="D11" s="48" t="n"/>
      <c r="E11" s="33" t="n"/>
      <c r="F11" s="34">
        <f>IF(AND(ISNUMBER(E11),ISNUMBER(E$9)),IF(E$9&gt;0,E11/E$9,""),"")</f>
        <v/>
      </c>
      <c r="G11" s="33" t="n"/>
      <c r="H11" s="23" t="n"/>
      <c r="I11" s="41" t="n"/>
    </row>
    <row r="12" ht="19.8" customHeight="1">
      <c r="B12" s="18" t="inlineStr">
        <is>
          <t>Pendientes que nunca se confirmaron</t>
        </is>
      </c>
      <c r="C12" s="48" t="n"/>
      <c r="D12" s="48" t="n"/>
      <c r="E12" s="33" t="n"/>
      <c r="F12" s="34">
        <f>IF(AND(ISNUMBER(E12),ISNUMBER(E$9)),IF(E$9&gt;0,E12/E$9,""),"")</f>
        <v/>
      </c>
      <c r="G12" s="33" t="n"/>
      <c r="H12" s="23" t="n"/>
      <c r="I12" s="41" t="n"/>
    </row>
    <row r="13" ht="19.8" customHeight="1">
      <c r="B13" s="18" t="inlineStr">
        <is>
          <t>Abandonados o expirados</t>
        </is>
      </c>
      <c r="C13" s="48" t="n"/>
      <c r="D13" s="48" t="n"/>
      <c r="E13" s="33" t="n"/>
      <c r="F13" s="34">
        <f>IF(AND(ISNUMBER(E13),ISNUMBER(E$9)),IF(E$9&gt;0,E13/E$9,""),"")</f>
        <v/>
      </c>
      <c r="G13" s="33" t="n"/>
      <c r="H13" s="23" t="n"/>
      <c r="I13" s="41" t="n"/>
    </row>
    <row r="14" ht="19.8" customHeight="1">
      <c r="B14" s="18" t="inlineStr">
        <is>
          <t>Fallidos por error técnico o caída del servicio</t>
        </is>
      </c>
      <c r="C14" s="48" t="n"/>
      <c r="D14" s="48" t="n"/>
      <c r="E14" s="33" t="n"/>
      <c r="F14" s="34">
        <f>IF(AND(ISNUMBER(E14),ISNUMBER(E$9)),IF(E$9&gt;0,E14/E$9,""),"")</f>
        <v/>
      </c>
      <c r="G14" s="33" t="n"/>
      <c r="H14" s="23" t="n"/>
      <c r="I14" s="41" t="n"/>
    </row>
    <row r="16" ht="24" customHeight="1">
      <c r="A16" s="7" t="inlineStr">
        <is>
          <t>6.2  PSE por banco: los 10 bancos con más pagos iniciados</t>
        </is>
      </c>
      <c r="B16" s="4" t="n"/>
      <c r="C16" s="4" t="n"/>
      <c r="D16" s="4" t="n"/>
      <c r="E16" s="4" t="n"/>
      <c r="F16" s="4" t="n"/>
      <c r="G16" s="4" t="n"/>
      <c r="H16" s="4" t="n"/>
      <c r="I16" s="4" t="n"/>
    </row>
    <row r="17" ht="18.42" customHeight="1">
      <c r="A17" s="25" t="inlineStr">
        <is>
          <t>Prioridad B. Área sugerida: Ecommerce y TI. Lo usamos para: aprobación de PSE por banco.</t>
        </is>
      </c>
    </row>
    <row r="18" ht="33.59999999999999" customHeight="1">
      <c r="B18" s="15" t="inlineStr">
        <is>
          <t>Banco</t>
        </is>
      </c>
      <c r="C18" s="15" t="inlineStr">
        <is>
          <t>Pagos iniciados (#)</t>
        </is>
      </c>
      <c r="D18" s="15" t="inlineStr">
        <is>
          <t>Pagos aprobados (#)</t>
        </is>
      </c>
      <c r="E18" s="15" t="inlineStr">
        <is>
          <t>Tasa de aprobación</t>
        </is>
      </c>
      <c r="F18" s="15" t="inlineStr">
        <is>
          <t>Monto aprobado (COP)</t>
        </is>
      </c>
      <c r="G18" s="15" t="inlineStr">
        <is>
          <t>Comentarios</t>
        </is>
      </c>
      <c r="H18" s="39" t="n"/>
      <c r="I18" s="39" t="n"/>
    </row>
    <row r="19" ht="19.8" customHeight="1">
      <c r="A19" s="29" t="inlineStr">
        <is>
          <t>Ej.</t>
        </is>
      </c>
      <c r="B19" s="30" t="inlineStr">
        <is>
          <t>Banco de ejemplo</t>
        </is>
      </c>
      <c r="C19" s="31" t="n">
        <v>1000</v>
      </c>
      <c r="D19" s="31" t="n">
        <v>900</v>
      </c>
      <c r="E19" s="32" t="n">
        <v>0.9</v>
      </c>
      <c r="F19" s="31" t="n">
        <v>45000000</v>
      </c>
      <c r="G19" s="30" t="inlineStr">
        <is>
          <t>Texto libre</t>
        </is>
      </c>
      <c r="H19" s="40" t="n"/>
      <c r="I19" s="40" t="n"/>
    </row>
    <row r="20" ht="18" customHeight="1">
      <c r="B20" s="23" t="n"/>
      <c r="C20" s="33" t="n"/>
      <c r="D20" s="33" t="n"/>
      <c r="E20" s="34">
        <f>IF(AND(ISNUMBER(D20),ISNUMBER(C20)),IF(C20&gt;0,D20/C20,""),"")</f>
        <v/>
      </c>
      <c r="F20" s="33" t="n"/>
      <c r="G20" s="23" t="n"/>
      <c r="H20" s="41" t="n"/>
      <c r="I20" s="41" t="n"/>
    </row>
    <row r="21" ht="18" customHeight="1">
      <c r="B21" s="23" t="n"/>
      <c r="C21" s="33" t="n"/>
      <c r="D21" s="33" t="n"/>
      <c r="E21" s="34">
        <f>IF(AND(ISNUMBER(D21),ISNUMBER(C21)),IF(C21&gt;0,D21/C21,""),"")</f>
        <v/>
      </c>
      <c r="F21" s="33" t="n"/>
      <c r="G21" s="23" t="n"/>
      <c r="H21" s="41" t="n"/>
      <c r="I21" s="41" t="n"/>
    </row>
    <row r="22" ht="18" customHeight="1">
      <c r="B22" s="23" t="n"/>
      <c r="C22" s="33" t="n"/>
      <c r="D22" s="33" t="n"/>
      <c r="E22" s="34">
        <f>IF(AND(ISNUMBER(D22),ISNUMBER(C22)),IF(C22&gt;0,D22/C22,""),"")</f>
        <v/>
      </c>
      <c r="F22" s="33" t="n"/>
      <c r="G22" s="23" t="n"/>
      <c r="H22" s="41" t="n"/>
      <c r="I22" s="41" t="n"/>
    </row>
    <row r="23" ht="18" customHeight="1">
      <c r="B23" s="23" t="n"/>
      <c r="C23" s="33" t="n"/>
      <c r="D23" s="33" t="n"/>
      <c r="E23" s="34">
        <f>IF(AND(ISNUMBER(D23),ISNUMBER(C23)),IF(C23&gt;0,D23/C23,""),"")</f>
        <v/>
      </c>
      <c r="F23" s="33" t="n"/>
      <c r="G23" s="23" t="n"/>
      <c r="H23" s="41" t="n"/>
      <c r="I23" s="41" t="n"/>
    </row>
    <row r="24" ht="18" customHeight="1">
      <c r="B24" s="23" t="n"/>
      <c r="C24" s="33" t="n"/>
      <c r="D24" s="33" t="n"/>
      <c r="E24" s="34">
        <f>IF(AND(ISNUMBER(D24),ISNUMBER(C24)),IF(C24&gt;0,D24/C24,""),"")</f>
        <v/>
      </c>
      <c r="F24" s="33" t="n"/>
      <c r="G24" s="23" t="n"/>
      <c r="H24" s="41" t="n"/>
      <c r="I24" s="41" t="n"/>
    </row>
    <row r="25" ht="18" customHeight="1">
      <c r="B25" s="23" t="n"/>
      <c r="C25" s="33" t="n"/>
      <c r="D25" s="33" t="n"/>
      <c r="E25" s="34">
        <f>IF(AND(ISNUMBER(D25),ISNUMBER(C25)),IF(C25&gt;0,D25/C25,""),"")</f>
        <v/>
      </c>
      <c r="F25" s="33" t="n"/>
      <c r="G25" s="23" t="n"/>
      <c r="H25" s="41" t="n"/>
      <c r="I25" s="41" t="n"/>
    </row>
    <row r="26" ht="18" customHeight="1">
      <c r="B26" s="23" t="n"/>
      <c r="C26" s="33" t="n"/>
      <c r="D26" s="33" t="n"/>
      <c r="E26" s="34">
        <f>IF(AND(ISNUMBER(D26),ISNUMBER(C26)),IF(C26&gt;0,D26/C26,""),"")</f>
        <v/>
      </c>
      <c r="F26" s="33" t="n"/>
      <c r="G26" s="23" t="n"/>
      <c r="H26" s="41" t="n"/>
      <c r="I26" s="41" t="n"/>
    </row>
    <row r="27" ht="18" customHeight="1">
      <c r="B27" s="23" t="n"/>
      <c r="C27" s="33" t="n"/>
      <c r="D27" s="33" t="n"/>
      <c r="E27" s="34">
        <f>IF(AND(ISNUMBER(D27),ISNUMBER(C27)),IF(C27&gt;0,D27/C27,""),"")</f>
        <v/>
      </c>
      <c r="F27" s="33" t="n"/>
      <c r="G27" s="23" t="n"/>
      <c r="H27" s="41" t="n"/>
      <c r="I27" s="41" t="n"/>
    </row>
    <row r="28" ht="18" customHeight="1">
      <c r="B28" s="23" t="n"/>
      <c r="C28" s="33" t="n"/>
      <c r="D28" s="33" t="n"/>
      <c r="E28" s="34">
        <f>IF(AND(ISNUMBER(D28),ISNUMBER(C28)),IF(C28&gt;0,D28/C28,""),"")</f>
        <v/>
      </c>
      <c r="F28" s="33" t="n"/>
      <c r="G28" s="23" t="n"/>
      <c r="H28" s="41" t="n"/>
      <c r="I28" s="41" t="n"/>
    </row>
    <row r="29" ht="18" customHeight="1">
      <c r="B29" s="23" t="n"/>
      <c r="C29" s="33" t="n"/>
      <c r="D29" s="33" t="n"/>
      <c r="E29" s="34">
        <f>IF(AND(ISNUMBER(D29),ISNUMBER(C29)),IF(C29&gt;0,D29/C29,""),"")</f>
        <v/>
      </c>
      <c r="F29" s="33" t="n"/>
      <c r="G29" s="23" t="n"/>
      <c r="H29" s="41" t="n"/>
      <c r="I29" s="41" t="n"/>
    </row>
    <row r="30" ht="19.8" customHeight="1">
      <c r="B30" s="36" t="inlineStr">
        <is>
          <t>Total</t>
        </is>
      </c>
      <c r="C30" s="37">
        <f>SUM(C20:C29)</f>
        <v/>
      </c>
      <c r="D30" s="37">
        <f>SUM(D20:D29)</f>
        <v/>
      </c>
      <c r="E30" s="38">
        <f>IF(AND(ISNUMBER(D30),ISNUMBER(C30)),IF(C30&gt;0,D30/C30,""),"")</f>
        <v/>
      </c>
      <c r="F30" s="37">
        <f>SUM(F20:F29)</f>
        <v/>
      </c>
      <c r="G30" s="36" t="n"/>
      <c r="H30" s="42" t="n"/>
      <c r="I30" s="42" t="n"/>
    </row>
    <row r="32" ht="24" customHeight="1">
      <c r="A32" s="7" t="inlineStr">
        <is>
          <t>6.3  Embudo de pagos en efectivo</t>
        </is>
      </c>
      <c r="B32" s="4" t="n"/>
      <c r="C32" s="4" t="n"/>
      <c r="D32" s="4" t="n"/>
      <c r="E32" s="4" t="n"/>
      <c r="F32" s="4" t="n"/>
      <c r="G32" s="4" t="n"/>
      <c r="H32" s="4" t="n"/>
      <c r="I32" s="4" t="n"/>
    </row>
    <row r="33" ht="18.42" customHeight="1">
      <c r="A33" s="25" t="inlineStr">
        <is>
          <t>Prioridad B. Área sugerida: Ecommerce y Finanzas. Lo usamos para: la base del caso y nuevos medios de pago.</t>
        </is>
      </c>
    </row>
    <row r="34" ht="18.42" customHeight="1">
      <c r="A34" s="25" t="inlineStr">
        <is>
          <t>Dato que tenemos hoy, a confirmar: cerca de 20.000 transacciones al mes en efectivo (llamada del 21 de mayo).</t>
        </is>
      </c>
    </row>
    <row r="35" ht="33.59999999999999" customHeight="1">
      <c r="B35" s="15" t="inlineStr">
        <is>
          <t>Etapa</t>
        </is>
      </c>
      <c r="C35" s="39" t="n"/>
      <c r="D35" s="39" t="n"/>
      <c r="E35" s="15" t="inlineStr">
        <is>
          <t>Órdenes (#)</t>
        </is>
      </c>
      <c r="F35" s="15" t="inlineStr">
        <is>
          <t>Porcentaje sobre generadas</t>
        </is>
      </c>
      <c r="G35" s="15" t="inlineStr">
        <is>
          <t>Monto (COP)</t>
        </is>
      </c>
      <c r="H35" s="15" t="inlineStr">
        <is>
          <t>Comentarios</t>
        </is>
      </c>
      <c r="I35" s="39" t="n"/>
    </row>
    <row r="36" ht="19.8" customHeight="1">
      <c r="A36" s="29" t="inlineStr">
        <is>
          <t>Ej.</t>
        </is>
      </c>
      <c r="B36" s="30" t="inlineStr">
        <is>
          <t>Pagadas</t>
        </is>
      </c>
      <c r="C36" s="40" t="n"/>
      <c r="D36" s="40" t="n"/>
      <c r="E36" s="31" t="n">
        <v>800</v>
      </c>
      <c r="F36" s="32" t="n">
        <v>0.8</v>
      </c>
      <c r="G36" s="31" t="n">
        <v>24000000</v>
      </c>
      <c r="H36" s="30" t="inlineStr">
        <is>
          <t>Texto libre</t>
        </is>
      </c>
      <c r="I36" s="40" t="n"/>
    </row>
    <row r="37" ht="19.8" customHeight="1">
      <c r="B37" s="18" t="inlineStr">
        <is>
          <t>Órdenes generadas con pago en efectivo</t>
        </is>
      </c>
      <c r="C37" s="48" t="n"/>
      <c r="D37" s="48" t="n"/>
      <c r="E37" s="33" t="n"/>
      <c r="F37" s="34">
        <f>IF(AND(ISNUMBER(E37),ISNUMBER(E$37)),IF(E$37&gt;0,E37/E$37,""),"")</f>
        <v/>
      </c>
      <c r="G37" s="33" t="n"/>
      <c r="H37" s="23" t="n"/>
      <c r="I37" s="41" t="n"/>
    </row>
    <row r="38" ht="19.8" customHeight="1">
      <c r="B38" s="18" t="inlineStr">
        <is>
          <t>Pagadas</t>
        </is>
      </c>
      <c r="C38" s="48" t="n"/>
      <c r="D38" s="48" t="n"/>
      <c r="E38" s="33" t="n"/>
      <c r="F38" s="34">
        <f>IF(AND(ISNUMBER(E38),ISNUMBER(E$37)),IF(E$37&gt;0,E38/E$37,""),"")</f>
        <v/>
      </c>
      <c r="G38" s="33" t="n"/>
      <c r="H38" s="23" t="n"/>
      <c r="I38" s="41" t="n"/>
    </row>
    <row r="39" ht="19.8" customHeight="1">
      <c r="B39" s="18" t="inlineStr">
        <is>
          <t>No pagadas o canceladas</t>
        </is>
      </c>
      <c r="C39" s="48" t="n"/>
      <c r="D39" s="48" t="n"/>
      <c r="E39" s="33" t="n"/>
      <c r="F39" s="34">
        <f>IF(AND(ISNUMBER(E39),ISNUMBER(E$37)),IF(E$37&gt;0,E39/E$37,""),"")</f>
        <v/>
      </c>
      <c r="G39" s="33" t="n"/>
      <c r="H39" s="23" t="n"/>
      <c r="I39" s="41" t="n"/>
    </row>
    <row r="41" ht="24" customHeight="1">
      <c r="A41" s="7" t="inlineStr">
        <is>
          <t>Preguntas sobre PSE</t>
        </is>
      </c>
      <c r="B41" s="4" t="n"/>
      <c r="C41" s="4" t="n"/>
      <c r="D41" s="4" t="n"/>
      <c r="E41" s="4" t="n"/>
      <c r="F41" s="4" t="n"/>
      <c r="G41" s="4" t="n"/>
      <c r="H41" s="4" t="n"/>
      <c r="I41" s="4" t="n"/>
    </row>
    <row r="42" ht="20" customHeight="1">
      <c r="A42" s="15" t="inlineStr">
        <is>
          <t>ID</t>
        </is>
      </c>
      <c r="B42" s="15" t="inlineStr">
        <is>
          <t>Pregunta</t>
        </is>
      </c>
      <c r="C42" s="15" t="inlineStr">
        <is>
          <t>Respuesta de Cruz Verde</t>
        </is>
      </c>
      <c r="D42" s="39" t="n"/>
      <c r="E42" s="39" t="n"/>
      <c r="F42" s="39" t="n"/>
      <c r="G42" s="15" t="inlineStr">
        <is>
          <t>Prioridad</t>
        </is>
      </c>
      <c r="H42" s="15" t="inlineStr">
        <is>
          <t>Dato que tenemos hoy, a confirmar</t>
        </is>
      </c>
      <c r="I42" s="39" t="n"/>
    </row>
    <row r="43" ht="33.59999999999999" customHeight="1">
      <c r="A43" s="43" t="inlineStr">
        <is>
          <t>6.4</t>
        </is>
      </c>
      <c r="B43" s="44" t="inlineStr">
        <is>
          <t>Tiempo promedio entre el inicio del pago por PSE y su confirmación.</t>
        </is>
      </c>
      <c r="C43" s="45" t="n"/>
      <c r="D43" s="41" t="n"/>
      <c r="E43" s="41" t="n"/>
      <c r="F43" s="41" t="n"/>
      <c r="G43" s="46" t="inlineStr">
        <is>
          <t>B</t>
        </is>
      </c>
      <c r="H43" s="47" t="n"/>
      <c r="I43" s="48" t="n"/>
    </row>
    <row r="44" ht="33.59999999999999" customHeight="1">
      <c r="A44" s="43" t="inlineStr">
        <is>
          <t>6.5</t>
        </is>
      </c>
      <c r="B44" s="44" t="inlineStr">
        <is>
          <t>Pagos por PSE confirmados después de que la orden se canceló o expiró: cuántos al mes y cómo los manejan.</t>
        </is>
      </c>
      <c r="C44" s="45" t="n"/>
      <c r="D44" s="41" t="n"/>
      <c r="E44" s="41" t="n"/>
      <c r="F44" s="41" t="n"/>
      <c r="G44" s="46" t="inlineStr">
        <is>
          <t>B</t>
        </is>
      </c>
      <c r="H44" s="47" t="n"/>
      <c r="I44" s="48" t="n"/>
    </row>
  </sheetData>
  <mergeCells count="56">
    <mergeCell ref="B11:D11"/>
    <mergeCell ref="H35:I35"/>
    <mergeCell ref="A41:I41"/>
    <mergeCell ref="B14:D14"/>
    <mergeCell ref="G28:I28"/>
    <mergeCell ref="H38:I38"/>
    <mergeCell ref="G19:I19"/>
    <mergeCell ref="H10:I10"/>
    <mergeCell ref="B8:D8"/>
    <mergeCell ref="H43:I43"/>
    <mergeCell ref="B13:D13"/>
    <mergeCell ref="G18:I18"/>
    <mergeCell ref="H44:I44"/>
    <mergeCell ref="G30:I30"/>
    <mergeCell ref="H9:I9"/>
    <mergeCell ref="B38:D38"/>
    <mergeCell ref="B10:D10"/>
    <mergeCell ref="G24:I24"/>
    <mergeCell ref="H39:I39"/>
    <mergeCell ref="A2:I2"/>
    <mergeCell ref="A33:I33"/>
    <mergeCell ref="B37:D37"/>
    <mergeCell ref="A5:I5"/>
    <mergeCell ref="A32:I32"/>
    <mergeCell ref="B9:D9"/>
    <mergeCell ref="A17:I17"/>
    <mergeCell ref="G20:I20"/>
    <mergeCell ref="G26:I26"/>
    <mergeCell ref="H36:I36"/>
    <mergeCell ref="G29:I29"/>
    <mergeCell ref="A4:I4"/>
    <mergeCell ref="C42:F42"/>
    <mergeCell ref="G25:I25"/>
    <mergeCell ref="H11:I11"/>
    <mergeCell ref="B36:D36"/>
    <mergeCell ref="G22:I22"/>
    <mergeCell ref="H7:I7"/>
    <mergeCell ref="B35:D35"/>
    <mergeCell ref="H37:I37"/>
    <mergeCell ref="A34:I34"/>
    <mergeCell ref="B7:D7"/>
    <mergeCell ref="H13:I13"/>
    <mergeCell ref="H14:I14"/>
    <mergeCell ref="G21:I21"/>
    <mergeCell ref="C44:F44"/>
    <mergeCell ref="H12:I12"/>
    <mergeCell ref="G27:I27"/>
    <mergeCell ref="H42:I42"/>
    <mergeCell ref="C43:F43"/>
    <mergeCell ref="G23:I23"/>
    <mergeCell ref="A1:I1"/>
    <mergeCell ref="A6:I6"/>
    <mergeCell ref="H8:I8"/>
    <mergeCell ref="B12:D12"/>
    <mergeCell ref="B39:D39"/>
    <mergeCell ref="A16:I16"/>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3E4FE0"/>
    <outlinePr summaryBelow="1" summaryRight="1"/>
    <pageSetUpPr fitToPage="1"/>
  </sheetPr>
  <dimension ref="A1:I26"/>
  <sheetViews>
    <sheetView showGridLines="0" workbookViewId="0">
      <pane ySplit="2" topLeftCell="A3" activePane="bottomLeft" state="frozen"/>
      <selection pane="bottomLeft" activeCell="A1" sqref="A1"/>
    </sheetView>
  </sheetViews>
  <sheetFormatPr baseColWidth="8" defaultRowHeight="15"/>
  <cols>
    <col width="6" customWidth="1" min="1" max="1"/>
    <col width="44" customWidth="1" min="2" max="2"/>
    <col width="15" customWidth="1" min="3" max="3"/>
    <col width="15" customWidth="1" min="4" max="4"/>
    <col width="15" customWidth="1" min="5" max="5"/>
    <col width="15" customWidth="1" min="6" max="6"/>
    <col width="15" customWidth="1" min="7" max="7"/>
    <col width="15" customWidth="1" min="8" max="8"/>
    <col width="36" customWidth="1" min="9" max="9"/>
  </cols>
  <sheetData>
    <row r="1" ht="34" customHeight="1">
      <c r="A1" s="12" t="inlineStr">
        <is>
          <t>7. Incidentes y disponibilidad</t>
        </is>
      </c>
      <c r="B1" s="2" t="n"/>
      <c r="C1" s="2" t="n"/>
      <c r="D1" s="2" t="n"/>
      <c r="E1" s="2" t="n"/>
      <c r="F1" s="2" t="n"/>
      <c r="G1" s="2" t="n"/>
      <c r="H1" s="2" t="n"/>
      <c r="I1" s="2" t="n"/>
    </row>
    <row r="2" ht="24" customHeight="1">
      <c r="A2" s="24" t="inlineStr">
        <is>
          <t>Período: septiembre de 2025 a agosto de 2026.</t>
        </is>
      </c>
      <c r="B2" s="4" t="n"/>
      <c r="C2" s="4" t="n"/>
      <c r="D2" s="4" t="n"/>
      <c r="E2" s="4" t="n"/>
      <c r="F2" s="4" t="n"/>
      <c r="G2" s="4" t="n"/>
      <c r="H2" s="4" t="n"/>
      <c r="I2" s="4" t="n"/>
    </row>
    <row r="4" ht="24" customHeight="1">
      <c r="A4" s="7" t="inlineStr">
        <is>
          <t>7.1  Registro de caídas o intermitencias</t>
        </is>
      </c>
      <c r="B4" s="4" t="n"/>
      <c r="C4" s="4" t="n"/>
      <c r="D4" s="4" t="n"/>
      <c r="E4" s="4" t="n"/>
      <c r="F4" s="4" t="n"/>
      <c r="G4" s="4" t="n"/>
      <c r="H4" s="4" t="n"/>
      <c r="I4" s="4" t="n"/>
    </row>
    <row r="5" ht="18.42" customHeight="1">
      <c r="A5" s="25" t="inlineStr">
        <is>
          <t>Prioridad A. Área sugerida: TI y Ecommerce. Lo usamos para: continuidad: el costo de depender de una sola ruta.</t>
        </is>
      </c>
    </row>
    <row r="6" ht="18.42" customHeight="1">
      <c r="A6" s="25" t="inlineStr">
        <is>
          <t>Dato que tenemos hoy, a confirmar: caídas de PSE y dependencia de un solo proveedor entre los dolores mencionados (llamada del 21 de mayo).</t>
        </is>
      </c>
    </row>
    <row r="7" ht="47.4" customHeight="1">
      <c r="B7" s="15" t="inlineStr">
        <is>
          <t>Medio o servicio afectado</t>
        </is>
      </c>
      <c r="C7" s="15" t="inlineStr">
        <is>
          <t>Fecha</t>
        </is>
      </c>
      <c r="D7" s="15" t="inlineStr">
        <is>
          <t>Duración (minutos)</t>
        </is>
      </c>
      <c r="E7" s="15" t="inlineStr">
        <is>
          <t>Alcance</t>
        </is>
      </c>
      <c r="F7" s="15" t="inlineStr">
        <is>
          <t>Transacciones afectadas, estimado (#)</t>
        </is>
      </c>
      <c r="G7" s="15" t="inlineStr">
        <is>
          <t>Ventas afectadas, estimado (COP)</t>
        </is>
      </c>
      <c r="H7" s="15" t="inlineStr">
        <is>
          <t>Cómo se detectó</t>
        </is>
      </c>
      <c r="I7" s="15" t="inlineStr">
        <is>
          <t>Acción tomada</t>
        </is>
      </c>
    </row>
    <row r="8" ht="33.59999999999999" customHeight="1">
      <c r="A8" s="29" t="inlineStr">
        <is>
          <t>Ej.</t>
        </is>
      </c>
      <c r="B8" s="30" t="inlineStr">
        <is>
          <t>PSE</t>
        </is>
      </c>
      <c r="C8" s="30" t="inlineStr">
        <is>
          <t>2026-03-14</t>
        </is>
      </c>
      <c r="D8" s="31" t="n">
        <v>90</v>
      </c>
      <c r="E8" s="30" t="inlineStr">
        <is>
          <t>Total</t>
        </is>
      </c>
      <c r="F8" s="31" t="n">
        <v>300</v>
      </c>
      <c r="G8" s="31" t="n">
        <v>15000000</v>
      </c>
      <c r="H8" s="30" t="inlineStr">
        <is>
          <t>Reclamos de clientes</t>
        </is>
      </c>
      <c r="I8" s="30" t="inlineStr">
        <is>
          <t>Se esperó a que el servicio volviera</t>
        </is>
      </c>
    </row>
    <row r="9" ht="18" customHeight="1">
      <c r="B9" s="23" t="n"/>
      <c r="C9" s="23" t="n"/>
      <c r="D9" s="33" t="n"/>
      <c r="E9" s="23" t="n"/>
      <c r="F9" s="33" t="n"/>
      <c r="G9" s="33" t="n"/>
      <c r="H9" s="23" t="n"/>
      <c r="I9" s="23" t="n"/>
    </row>
    <row r="10" ht="18" customHeight="1">
      <c r="B10" s="23" t="n"/>
      <c r="C10" s="23" t="n"/>
      <c r="D10" s="33" t="n"/>
      <c r="E10" s="23" t="n"/>
      <c r="F10" s="33" t="n"/>
      <c r="G10" s="33" t="n"/>
      <c r="H10" s="23" t="n"/>
      <c r="I10" s="23" t="n"/>
    </row>
    <row r="11" ht="18" customHeight="1">
      <c r="B11" s="23" t="n"/>
      <c r="C11" s="23" t="n"/>
      <c r="D11" s="33" t="n"/>
      <c r="E11" s="23" t="n"/>
      <c r="F11" s="33" t="n"/>
      <c r="G11" s="33" t="n"/>
      <c r="H11" s="23" t="n"/>
      <c r="I11" s="23" t="n"/>
    </row>
    <row r="12" ht="18" customHeight="1">
      <c r="B12" s="23" t="n"/>
      <c r="C12" s="23" t="n"/>
      <c r="D12" s="33" t="n"/>
      <c r="E12" s="23" t="n"/>
      <c r="F12" s="33" t="n"/>
      <c r="G12" s="33" t="n"/>
      <c r="H12" s="23" t="n"/>
      <c r="I12" s="23" t="n"/>
    </row>
    <row r="13" ht="18" customHeight="1">
      <c r="B13" s="23" t="n"/>
      <c r="C13" s="23" t="n"/>
      <c r="D13" s="33" t="n"/>
      <c r="E13" s="23" t="n"/>
      <c r="F13" s="33" t="n"/>
      <c r="G13" s="33" t="n"/>
      <c r="H13" s="23" t="n"/>
      <c r="I13" s="23" t="n"/>
    </row>
    <row r="14" ht="18" customHeight="1">
      <c r="B14" s="23" t="n"/>
      <c r="C14" s="23" t="n"/>
      <c r="D14" s="33" t="n"/>
      <c r="E14" s="23" t="n"/>
      <c r="F14" s="33" t="n"/>
      <c r="G14" s="33" t="n"/>
      <c r="H14" s="23" t="n"/>
      <c r="I14" s="23" t="n"/>
    </row>
    <row r="15" ht="18" customHeight="1">
      <c r="B15" s="23" t="n"/>
      <c r="C15" s="23" t="n"/>
      <c r="D15" s="33" t="n"/>
      <c r="E15" s="23" t="n"/>
      <c r="F15" s="33" t="n"/>
      <c r="G15" s="33" t="n"/>
      <c r="H15" s="23" t="n"/>
      <c r="I15" s="23" t="n"/>
    </row>
    <row r="16" ht="18" customHeight="1">
      <c r="B16" s="23" t="n"/>
      <c r="C16" s="23" t="n"/>
      <c r="D16" s="33" t="n"/>
      <c r="E16" s="23" t="n"/>
      <c r="F16" s="33" t="n"/>
      <c r="G16" s="33" t="n"/>
      <c r="H16" s="23" t="n"/>
      <c r="I16" s="23" t="n"/>
    </row>
    <row r="17" ht="18" customHeight="1">
      <c r="B17" s="23" t="n"/>
      <c r="C17" s="23" t="n"/>
      <c r="D17" s="33" t="n"/>
      <c r="E17" s="23" t="n"/>
      <c r="F17" s="33" t="n"/>
      <c r="G17" s="33" t="n"/>
      <c r="H17" s="23" t="n"/>
      <c r="I17" s="23" t="n"/>
    </row>
    <row r="18" ht="18" customHeight="1">
      <c r="B18" s="23" t="n"/>
      <c r="C18" s="23" t="n"/>
      <c r="D18" s="33" t="n"/>
      <c r="E18" s="23" t="n"/>
      <c r="F18" s="33" t="n"/>
      <c r="G18" s="33" t="n"/>
      <c r="H18" s="23" t="n"/>
      <c r="I18" s="23" t="n"/>
    </row>
    <row r="20" ht="24" customHeight="1">
      <c r="A20" s="7" t="inlineStr">
        <is>
          <t>Preguntas sobre disponibilidad</t>
        </is>
      </c>
      <c r="B20" s="4" t="n"/>
      <c r="C20" s="4" t="n"/>
      <c r="D20" s="4" t="n"/>
      <c r="E20" s="4" t="n"/>
      <c r="F20" s="4" t="n"/>
      <c r="G20" s="4" t="n"/>
      <c r="H20" s="4" t="n"/>
      <c r="I20" s="4" t="n"/>
    </row>
    <row r="21" ht="20" customHeight="1">
      <c r="A21" s="15" t="inlineStr">
        <is>
          <t>ID</t>
        </is>
      </c>
      <c r="B21" s="15" t="inlineStr">
        <is>
          <t>Pregunta</t>
        </is>
      </c>
      <c r="C21" s="15" t="inlineStr">
        <is>
          <t>Respuesta de Cruz Verde</t>
        </is>
      </c>
      <c r="D21" s="39" t="n"/>
      <c r="E21" s="39" t="n"/>
      <c r="F21" s="39" t="n"/>
      <c r="G21" s="15" t="inlineStr">
        <is>
          <t>Prioridad</t>
        </is>
      </c>
      <c r="H21" s="15" t="inlineStr">
        <is>
          <t>Dato que tenemos hoy, a confirmar</t>
        </is>
      </c>
      <c r="I21" s="39" t="n"/>
    </row>
    <row r="22" ht="33.59999999999999" customHeight="1">
      <c r="A22" s="43" t="inlineStr">
        <is>
          <t>7.2</t>
        </is>
      </c>
      <c r="B22" s="44" t="inlineStr">
        <is>
          <t>Número de caídas o intermitencias de PSE en los últimos 12 meses.</t>
        </is>
      </c>
      <c r="C22" s="45" t="n"/>
      <c r="D22" s="41" t="n"/>
      <c r="E22" s="41" t="n"/>
      <c r="F22" s="41" t="n"/>
      <c r="G22" s="46" t="inlineStr">
        <is>
          <t>A</t>
        </is>
      </c>
      <c r="H22" s="47" t="inlineStr">
        <is>
          <t>Caídas de PSE mencionadas como dolor (llamada del 21 de mayo).</t>
        </is>
      </c>
      <c r="I22" s="48" t="n"/>
    </row>
    <row r="23" ht="33.59999999999999" customHeight="1">
      <c r="A23" s="43" t="inlineStr">
        <is>
          <t>7.3</t>
        </is>
      </c>
      <c r="B23" s="44" t="inlineStr">
        <is>
          <t>Tiempo total sin servicio de pagos en los últimos 12 meses (horas).</t>
        </is>
      </c>
      <c r="C23" s="45" t="n"/>
      <c r="D23" s="41" t="n"/>
      <c r="E23" s="41" t="n"/>
      <c r="F23" s="41" t="n"/>
      <c r="G23" s="46" t="inlineStr">
        <is>
          <t>A</t>
        </is>
      </c>
      <c r="H23" s="47" t="n"/>
      <c r="I23" s="48" t="n"/>
    </row>
    <row r="24" ht="33.59999999999999" customHeight="1">
      <c r="A24" s="43" t="inlineStr">
        <is>
          <t>7.4</t>
        </is>
      </c>
      <c r="B24" s="44" t="inlineStr">
        <is>
          <t>¿Qué alternativa tiene el cliente cuando PSE o Mercado Pago no responde?</t>
        </is>
      </c>
      <c r="C24" s="45" t="n"/>
      <c r="D24" s="41" t="n"/>
      <c r="E24" s="41" t="n"/>
      <c r="F24" s="41" t="n"/>
      <c r="G24" s="46" t="inlineStr">
        <is>
          <t>A</t>
        </is>
      </c>
      <c r="H24" s="47" t="inlineStr">
        <is>
          <t>Mercado Pago es el único proveedor (reunión del 25 de septiembre).</t>
        </is>
      </c>
      <c r="I24" s="48" t="n"/>
    </row>
    <row r="25" ht="33.59999999999999" customHeight="1">
      <c r="A25" s="43" t="inlineStr">
        <is>
          <t>7.5</t>
        </is>
      </c>
      <c r="B25" s="44" t="inlineStr">
        <is>
          <t>Ventas promedio por hora en horario de mayor demanda y en horario normal (COP).</t>
        </is>
      </c>
      <c r="C25" s="45" t="n"/>
      <c r="D25" s="41" t="n"/>
      <c r="E25" s="41" t="n"/>
      <c r="F25" s="41" t="n"/>
      <c r="G25" s="46" t="inlineStr">
        <is>
          <t>B</t>
        </is>
      </c>
      <c r="H25" s="47" t="n"/>
      <c r="I25" s="48" t="n"/>
    </row>
    <row r="26" ht="33.59999999999999" customHeight="1">
      <c r="A26" s="43" t="inlineStr">
        <is>
          <t>7.6</t>
        </is>
      </c>
      <c r="B26" s="44" t="inlineStr">
        <is>
          <t>¿Cómo monitorean hoy la disponibilidad de los pagos? Por ejemplo: alertas, tableros, avisos del proveedor.</t>
        </is>
      </c>
      <c r="C26" s="45" t="n"/>
      <c r="D26" s="41" t="n"/>
      <c r="E26" s="41" t="n"/>
      <c r="F26" s="41" t="n"/>
      <c r="G26" s="46" t="inlineStr">
        <is>
          <t>B</t>
        </is>
      </c>
      <c r="H26" s="47" t="n"/>
      <c r="I26" s="48" t="n"/>
    </row>
  </sheetData>
  <mergeCells count="18">
    <mergeCell ref="C22:F22"/>
    <mergeCell ref="H25:I25"/>
    <mergeCell ref="H21:I21"/>
    <mergeCell ref="A2:I2"/>
    <mergeCell ref="C23:F23"/>
    <mergeCell ref="A5:I5"/>
    <mergeCell ref="H24:I24"/>
    <mergeCell ref="C26:F26"/>
    <mergeCell ref="A1:I1"/>
    <mergeCell ref="C21:F21"/>
    <mergeCell ref="H23:I23"/>
    <mergeCell ref="A6:I6"/>
    <mergeCell ref="H22:I22"/>
    <mergeCell ref="C24:F24"/>
    <mergeCell ref="C25:F25"/>
    <mergeCell ref="A4:I4"/>
    <mergeCell ref="A20:I20"/>
    <mergeCell ref="H26:I26"/>
  </mergeCells>
  <dataValidations count="1">
    <dataValidation sqref="E9 E10 E11 E12 E13 E14 E15 E16 E17 E18" showDropDown="0" showInputMessage="0" showErrorMessage="0" allowBlank="1" error="Elegir una opción de la lista" type="list">
      <formula1>"Total,Parcial"</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3E4FE0"/>
    <outlinePr summaryBelow="1" summaryRight="1"/>
    <pageSetUpPr fitToPage="1"/>
  </sheetPr>
  <dimension ref="A1:I46"/>
  <sheetViews>
    <sheetView showGridLines="0" workbookViewId="0">
      <pane ySplit="2" topLeftCell="A3" activePane="bottomLeft" state="frozen"/>
      <selection pane="bottomLeft" activeCell="A1" sqref="A1"/>
    </sheetView>
  </sheetViews>
  <sheetFormatPr baseColWidth="8" defaultRowHeight="15"/>
  <cols>
    <col width="6" customWidth="1" min="1" max="1"/>
    <col width="44" customWidth="1" min="2" max="2"/>
    <col width="15" customWidth="1" min="3" max="3"/>
    <col width="15" customWidth="1" min="4" max="4"/>
    <col width="15" customWidth="1" min="5" max="5"/>
    <col width="15" customWidth="1" min="6" max="6"/>
    <col width="15" customWidth="1" min="7" max="7"/>
    <col width="15" customWidth="1" min="8" max="8"/>
    <col width="36" customWidth="1" min="9" max="9"/>
  </cols>
  <sheetData>
    <row r="1" ht="34" customHeight="1">
      <c r="A1" s="12" t="inlineStr">
        <is>
          <t>8. Devoluciones, contracargos y fraude</t>
        </is>
      </c>
      <c r="B1" s="2" t="n"/>
      <c r="C1" s="2" t="n"/>
      <c r="D1" s="2" t="n"/>
      <c r="E1" s="2" t="n"/>
      <c r="F1" s="2" t="n"/>
      <c r="G1" s="2" t="n"/>
      <c r="H1" s="2" t="n"/>
      <c r="I1" s="2" t="n"/>
    </row>
    <row r="2" ht="24" customHeight="1">
      <c r="A2" s="24" t="inlineStr">
        <is>
          <t>Período: septiembre de 2025 a agosto de 2026, acumulado. Cifras en COP.</t>
        </is>
      </c>
      <c r="B2" s="4" t="n"/>
      <c r="C2" s="4" t="n"/>
      <c r="D2" s="4" t="n"/>
      <c r="E2" s="4" t="n"/>
      <c r="F2" s="4" t="n"/>
      <c r="G2" s="4" t="n"/>
      <c r="H2" s="4" t="n"/>
      <c r="I2" s="4" t="n"/>
    </row>
    <row r="4" ht="24" customHeight="1">
      <c r="A4" s="7" t="inlineStr">
        <is>
          <t>8.1  Devoluciones por medio de pago</t>
        </is>
      </c>
      <c r="B4" s="4" t="n"/>
      <c r="C4" s="4" t="n"/>
      <c r="D4" s="4" t="n"/>
      <c r="E4" s="4" t="n"/>
      <c r="F4" s="4" t="n"/>
      <c r="G4" s="4" t="n"/>
      <c r="H4" s="4" t="n"/>
      <c r="I4" s="4" t="n"/>
    </row>
    <row r="5" ht="18.42" customHeight="1">
      <c r="A5" s="25" t="inlineStr">
        <is>
          <t>Prioridad A. Área sugerida: Finanzas y Ecommerce. Lo usamos para: devoluciones: volumen, tiempos y costo actual.</t>
        </is>
      </c>
    </row>
    <row r="6" ht="18.42" customHeight="1">
      <c r="A6" s="25" t="inlineStr">
        <is>
          <t>Dato que tenemos hoy, a confirmar: devoluciones cercanas a 5% de las compras, concentradas en PSE (reunión del 25 de septiembre).</t>
        </is>
      </c>
    </row>
    <row r="7" ht="18.42" customHeight="1">
      <c r="A7" s="25" t="inlineStr">
        <is>
          <t>Las columnas de días y de costo son promedios por medio de pago, por eso no llevan total.</t>
        </is>
      </c>
    </row>
    <row r="8" ht="47.4" customHeight="1">
      <c r="B8" s="15" t="inlineStr">
        <is>
          <t>Medio de pago</t>
        </is>
      </c>
      <c r="C8" s="15" t="inlineStr">
        <is>
          <t>Devoluciones (#)</t>
        </is>
      </c>
      <c r="D8" s="15" t="inlineStr">
        <is>
          <t>Monto devuelto (COP)</t>
        </is>
      </c>
      <c r="E8" s="15" t="inlineStr">
        <is>
          <t>Devoluciones totales (#)</t>
        </is>
      </c>
      <c r="F8" s="15" t="inlineStr">
        <is>
          <t>Devoluciones parciales (#)</t>
        </is>
      </c>
      <c r="G8" s="15" t="inlineStr">
        <is>
          <t>Días hasta que el cliente recibe el dinero</t>
        </is>
      </c>
      <c r="H8" s="15" t="inlineStr">
        <is>
          <t>Costo por devolución (COP)</t>
        </is>
      </c>
      <c r="I8" s="15" t="inlineStr">
        <is>
          <t>Comentarios</t>
        </is>
      </c>
    </row>
    <row r="9" ht="19.8" customHeight="1">
      <c r="A9" s="29" t="inlineStr">
        <is>
          <t>Ej.</t>
        </is>
      </c>
      <c r="B9" s="30" t="inlineStr">
        <is>
          <t>PSE</t>
        </is>
      </c>
      <c r="C9" s="31" t="n">
        <v>50</v>
      </c>
      <c r="D9" s="31" t="n">
        <v>2500000</v>
      </c>
      <c r="E9" s="31" t="n">
        <v>40</v>
      </c>
      <c r="F9" s="31" t="n">
        <v>10</v>
      </c>
      <c r="G9" s="31" t="n">
        <v>8</v>
      </c>
      <c r="H9" s="31" t="n">
        <v>3000</v>
      </c>
      <c r="I9" s="30" t="inlineStr">
        <is>
          <t>Texto libre</t>
        </is>
      </c>
    </row>
    <row r="10" ht="19.8" customHeight="1">
      <c r="B10" s="18" t="inlineStr">
        <is>
          <t>PSE</t>
        </is>
      </c>
      <c r="C10" s="33" t="n"/>
      <c r="D10" s="33" t="n"/>
      <c r="E10" s="33" t="n"/>
      <c r="F10" s="33" t="n"/>
      <c r="G10" s="33" t="n"/>
      <c r="H10" s="33" t="n"/>
      <c r="I10" s="23" t="n"/>
    </row>
    <row r="11" ht="19.8" customHeight="1">
      <c r="B11" s="18" t="inlineStr">
        <is>
          <t>Tarjeta de crédito</t>
        </is>
      </c>
      <c r="C11" s="33" t="n"/>
      <c r="D11" s="33" t="n"/>
      <c r="E11" s="33" t="n"/>
      <c r="F11" s="33" t="n"/>
      <c r="G11" s="33" t="n"/>
      <c r="H11" s="33" t="n"/>
      <c r="I11" s="23" t="n"/>
    </row>
    <row r="12" ht="19.8" customHeight="1">
      <c r="B12" s="18" t="inlineStr">
        <is>
          <t>Tarjeta de débito</t>
        </is>
      </c>
      <c r="C12" s="33" t="n"/>
      <c r="D12" s="33" t="n"/>
      <c r="E12" s="33" t="n"/>
      <c r="F12" s="33" t="n"/>
      <c r="G12" s="33" t="n"/>
      <c r="H12" s="33" t="n"/>
      <c r="I12" s="23" t="n"/>
    </row>
    <row r="13" ht="19.8" customHeight="1">
      <c r="B13" s="18" t="inlineStr">
        <is>
          <t>Efectivo</t>
        </is>
      </c>
      <c r="C13" s="33" t="n"/>
      <c r="D13" s="33" t="n"/>
      <c r="E13" s="33" t="n"/>
      <c r="F13" s="33" t="n"/>
      <c r="G13" s="33" t="n"/>
      <c r="H13" s="33" t="n"/>
      <c r="I13" s="23" t="n"/>
    </row>
    <row r="14" ht="19.8" customHeight="1">
      <c r="B14" s="18" t="inlineStr">
        <is>
          <t>Otro (especificar)</t>
        </is>
      </c>
      <c r="C14" s="33" t="n"/>
      <c r="D14" s="33" t="n"/>
      <c r="E14" s="33" t="n"/>
      <c r="F14" s="33" t="n"/>
      <c r="G14" s="33" t="n"/>
      <c r="H14" s="33" t="n"/>
      <c r="I14" s="23" t="n"/>
    </row>
    <row r="15" ht="19.8" customHeight="1">
      <c r="B15" s="36" t="inlineStr">
        <is>
          <t>Total</t>
        </is>
      </c>
      <c r="C15" s="37">
        <f>SUM(C10:C14)</f>
        <v/>
      </c>
      <c r="D15" s="37">
        <f>SUM(D10:D14)</f>
        <v/>
      </c>
      <c r="E15" s="37">
        <f>SUM(E10:E14)</f>
        <v/>
      </c>
      <c r="F15" s="37">
        <f>SUM(F10:F14)</f>
        <v/>
      </c>
      <c r="G15" s="37" t="n"/>
      <c r="H15" s="37" t="n"/>
      <c r="I15" s="36" t="n"/>
    </row>
    <row r="17" ht="24" customHeight="1">
      <c r="A17" s="7" t="inlineStr">
        <is>
          <t>8.2  Motivos de devolución</t>
        </is>
      </c>
      <c r="B17" s="4" t="n"/>
      <c r="C17" s="4" t="n"/>
      <c r="D17" s="4" t="n"/>
      <c r="E17" s="4" t="n"/>
      <c r="F17" s="4" t="n"/>
      <c r="G17" s="4" t="n"/>
      <c r="H17" s="4" t="n"/>
      <c r="I17" s="4" t="n"/>
    </row>
    <row r="18" ht="18.42" customHeight="1">
      <c r="A18" s="25" t="inlineStr">
        <is>
          <t>Prioridad A. Área sugerida: Ecommerce. Lo usamos para: devoluciones: cuáles se pueden evitar y cuáles resolver con saldo.</t>
        </is>
      </c>
    </row>
    <row r="19" ht="18.42" customHeight="1">
      <c r="A19" s="25" t="inlineStr">
        <is>
          <t>Las dos filas en blanco son para motivos propios de Cruz Verde que no estén en la lista.</t>
        </is>
      </c>
    </row>
    <row r="20" ht="33.59999999999999" customHeight="1">
      <c r="B20" s="15" t="inlineStr">
        <is>
          <t>Motivo</t>
        </is>
      </c>
      <c r="C20" s="39" t="n"/>
      <c r="D20" s="39" t="n"/>
      <c r="E20" s="15" t="inlineStr">
        <is>
          <t>Devoluciones (#)</t>
        </is>
      </c>
      <c r="F20" s="15" t="inlineStr">
        <is>
          <t>Participación</t>
        </is>
      </c>
      <c r="G20" s="15" t="inlineStr">
        <is>
          <t>Monto devuelto (COP)</t>
        </is>
      </c>
      <c r="H20" s="15" t="inlineStr">
        <is>
          <t>Comentarios</t>
        </is>
      </c>
      <c r="I20" s="39" t="n"/>
    </row>
    <row r="21" ht="19.8" customHeight="1">
      <c r="A21" s="29" t="inlineStr">
        <is>
          <t>Ej.</t>
        </is>
      </c>
      <c r="B21" s="30" t="inlineStr">
        <is>
          <t>Producto agotado o no disponible</t>
        </is>
      </c>
      <c r="C21" s="40" t="n"/>
      <c r="D21" s="40" t="n"/>
      <c r="E21" s="31" t="n">
        <v>50</v>
      </c>
      <c r="F21" s="32" t="n">
        <v>0.5</v>
      </c>
      <c r="G21" s="31" t="n">
        <v>2500000</v>
      </c>
      <c r="H21" s="30" t="inlineStr">
        <is>
          <t>Texto libre</t>
        </is>
      </c>
      <c r="I21" s="40" t="n"/>
    </row>
    <row r="22" ht="19.8" customHeight="1">
      <c r="B22" s="18" t="inlineStr">
        <is>
          <t>Producto agotado o no disponible</t>
        </is>
      </c>
      <c r="C22" s="48" t="n"/>
      <c r="D22" s="48" t="n"/>
      <c r="E22" s="33" t="n"/>
      <c r="F22" s="34">
        <f>IF(ISNUMBER(E22),IF(SUM(E$22:E$29)&gt;0,E22/SUM(E$22:E$29),""),"")</f>
        <v/>
      </c>
      <c r="G22" s="33" t="n"/>
      <c r="H22" s="23" t="n"/>
      <c r="I22" s="41" t="n"/>
    </row>
    <row r="23" ht="19.8" customHeight="1">
      <c r="B23" s="18" t="inlineStr">
        <is>
          <t>Cancelación solicitada por el cliente</t>
        </is>
      </c>
      <c r="C23" s="48" t="n"/>
      <c r="D23" s="48" t="n"/>
      <c r="E23" s="33" t="n"/>
      <c r="F23" s="34">
        <f>IF(ISNUMBER(E23),IF(SUM(E$22:E$29)&gt;0,E23/SUM(E$22:E$29),""),"")</f>
        <v/>
      </c>
      <c r="G23" s="33" t="n"/>
      <c r="H23" s="23" t="n"/>
      <c r="I23" s="41" t="n"/>
    </row>
    <row r="24" ht="19.8" customHeight="1">
      <c r="B24" s="18" t="inlineStr">
        <is>
          <t>Pedido no entregado o fuera de cobertura</t>
        </is>
      </c>
      <c r="C24" s="48" t="n"/>
      <c r="D24" s="48" t="n"/>
      <c r="E24" s="33" t="n"/>
      <c r="F24" s="34">
        <f>IF(ISNUMBER(E24),IF(SUM(E$22:E$29)&gt;0,E24/SUM(E$22:E$29),""),"")</f>
        <v/>
      </c>
      <c r="G24" s="33" t="n"/>
      <c r="H24" s="23" t="n"/>
      <c r="I24" s="41" t="n"/>
    </row>
    <row r="25" ht="19.8" customHeight="1">
      <c r="B25" s="18" t="inlineStr">
        <is>
          <t>Error de precio o promoción</t>
        </is>
      </c>
      <c r="C25" s="48" t="n"/>
      <c r="D25" s="48" t="n"/>
      <c r="E25" s="33" t="n"/>
      <c r="F25" s="34">
        <f>IF(ISNUMBER(E25),IF(SUM(E$22:E$29)&gt;0,E25/SUM(E$22:E$29),""),"")</f>
        <v/>
      </c>
      <c r="G25" s="33" t="n"/>
      <c r="H25" s="23" t="n"/>
      <c r="I25" s="41" t="n"/>
    </row>
    <row r="26" ht="19.8" customHeight="1">
      <c r="B26" s="18" t="inlineStr">
        <is>
          <t>Cobro duplicado</t>
        </is>
      </c>
      <c r="C26" s="48" t="n"/>
      <c r="D26" s="48" t="n"/>
      <c r="E26" s="33" t="n"/>
      <c r="F26" s="34">
        <f>IF(ISNUMBER(E26),IF(SUM(E$22:E$29)&gt;0,E26/SUM(E$22:E$29),""),"")</f>
        <v/>
      </c>
      <c r="G26" s="33" t="n"/>
      <c r="H26" s="23" t="n"/>
      <c r="I26" s="41" t="n"/>
    </row>
    <row r="27" ht="19.8" customHeight="1">
      <c r="B27" s="18" t="inlineStr">
        <is>
          <t>Pago confirmado después de cancelar la orden</t>
        </is>
      </c>
      <c r="C27" s="48" t="n"/>
      <c r="D27" s="48" t="n"/>
      <c r="E27" s="33" t="n"/>
      <c r="F27" s="34">
        <f>IF(ISNUMBER(E27),IF(SUM(E$22:E$29)&gt;0,E27/SUM(E$22:E$29),""),"")</f>
        <v/>
      </c>
      <c r="G27" s="33" t="n"/>
      <c r="H27" s="23" t="n"/>
      <c r="I27" s="41" t="n"/>
    </row>
    <row r="28" ht="18" customHeight="1">
      <c r="B28" s="23" t="n"/>
      <c r="C28" s="41" t="n"/>
      <c r="D28" s="41" t="n"/>
      <c r="E28" s="33" t="n"/>
      <c r="F28" s="34">
        <f>IF(ISNUMBER(E28),IF(SUM(E$22:E$29)&gt;0,E28/SUM(E$22:E$29),""),"")</f>
        <v/>
      </c>
      <c r="G28" s="33" t="n"/>
      <c r="H28" s="23" t="n"/>
      <c r="I28" s="41" t="n"/>
    </row>
    <row r="29" ht="18" customHeight="1">
      <c r="B29" s="23" t="n"/>
      <c r="C29" s="41" t="n"/>
      <c r="D29" s="41" t="n"/>
      <c r="E29" s="33" t="n"/>
      <c r="F29" s="34">
        <f>IF(ISNUMBER(E29),IF(SUM(E$22:E$29)&gt;0,E29/SUM(E$22:E$29),""),"")</f>
        <v/>
      </c>
      <c r="G29" s="33" t="n"/>
      <c r="H29" s="23" t="n"/>
      <c r="I29" s="41" t="n"/>
    </row>
    <row r="30" ht="19.8" customHeight="1">
      <c r="B30" s="36" t="inlineStr">
        <is>
          <t>Total</t>
        </is>
      </c>
      <c r="C30" s="42" t="n"/>
      <c r="D30" s="42" t="n"/>
      <c r="E30" s="37">
        <f>SUM(E22:E29)</f>
        <v/>
      </c>
      <c r="F30" s="38" t="n"/>
      <c r="G30" s="37">
        <f>SUM(G22:G29)</f>
        <v/>
      </c>
      <c r="H30" s="36" t="n"/>
      <c r="I30" s="42" t="n"/>
    </row>
    <row r="32" ht="24" customHeight="1">
      <c r="A32" s="7" t="inlineStr">
        <is>
          <t>Preguntas sobre devoluciones</t>
        </is>
      </c>
      <c r="B32" s="4" t="n"/>
      <c r="C32" s="4" t="n"/>
      <c r="D32" s="4" t="n"/>
      <c r="E32" s="4" t="n"/>
      <c r="F32" s="4" t="n"/>
      <c r="G32" s="4" t="n"/>
      <c r="H32" s="4" t="n"/>
      <c r="I32" s="4" t="n"/>
    </row>
    <row r="33" ht="20" customHeight="1">
      <c r="A33" s="15" t="inlineStr">
        <is>
          <t>ID</t>
        </is>
      </c>
      <c r="B33" s="15" t="inlineStr">
        <is>
          <t>Pregunta</t>
        </is>
      </c>
      <c r="C33" s="15" t="inlineStr">
        <is>
          <t>Respuesta de Cruz Verde</t>
        </is>
      </c>
      <c r="D33" s="39" t="n"/>
      <c r="E33" s="39" t="n"/>
      <c r="F33" s="39" t="n"/>
      <c r="G33" s="15" t="inlineStr">
        <is>
          <t>Prioridad</t>
        </is>
      </c>
      <c r="H33" s="15" t="inlineStr">
        <is>
          <t>Dato que tenemos hoy, a confirmar</t>
        </is>
      </c>
      <c r="I33" s="39" t="n"/>
    </row>
    <row r="34" ht="47.4" customHeight="1">
      <c r="A34" s="43" t="inlineStr">
        <is>
          <t>8.3</t>
        </is>
      </c>
      <c r="B34" s="44" t="inlineStr">
        <is>
          <t>Describir el proceso actual de una devolución por PSE, paso a paso: quién la solicita, quién la aprueba y cómo se gira el dinero.</t>
        </is>
      </c>
      <c r="C34" s="45" t="n"/>
      <c r="D34" s="41" t="n"/>
      <c r="E34" s="41" t="n"/>
      <c r="F34" s="41" t="n"/>
      <c r="G34" s="46" t="inlineStr">
        <is>
          <t>A</t>
        </is>
      </c>
      <c r="H34" s="47" t="inlineStr">
        <is>
          <t>Devoluciones de PSE mencionadas como dolor (llamada del 21 de mayo).</t>
        </is>
      </c>
      <c r="I34" s="48" t="n"/>
    </row>
    <row r="35" ht="33.59999999999999" customHeight="1">
      <c r="A35" s="43" t="inlineStr">
        <is>
          <t>8.4</t>
        </is>
      </c>
      <c r="B35" s="44" t="inlineStr">
        <is>
          <t>¿La devolución por PSE la ejecuta Mercado Pago o la hace Cruz Verde por transferencia bancaria?</t>
        </is>
      </c>
      <c r="C35" s="45" t="n"/>
      <c r="D35" s="41" t="n"/>
      <c r="E35" s="41" t="n"/>
      <c r="F35" s="41" t="n"/>
      <c r="G35" s="46" t="inlineStr">
        <is>
          <t>A</t>
        </is>
      </c>
      <c r="H35" s="47" t="n"/>
      <c r="I35" s="48" t="n"/>
    </row>
    <row r="36" ht="33.59999999999999" customHeight="1">
      <c r="A36" s="43" t="inlineStr">
        <is>
          <t>8.5</t>
        </is>
      </c>
      <c r="B36" s="44" t="inlineStr">
        <is>
          <t>Solicitudes o reclamos de clientes relacionados con devoluciones, promedio al mes.</t>
        </is>
      </c>
      <c r="C36" s="45" t="n"/>
      <c r="D36" s="41" t="n"/>
      <c r="E36" s="41" t="n"/>
      <c r="F36" s="41" t="n"/>
      <c r="G36" s="46" t="inlineStr">
        <is>
          <t>B</t>
        </is>
      </c>
      <c r="H36" s="47" t="n"/>
      <c r="I36" s="48" t="n"/>
    </row>
    <row r="37" ht="47.4" customHeight="1">
      <c r="A37" s="43" t="inlineStr">
        <is>
          <t>8.6</t>
        </is>
      </c>
      <c r="B37" s="44" t="inlineStr">
        <is>
          <t>Porcentaje de las devoluciones que podría entregarse como saldo o crédito Cruz Verde si existiera esa opción.</t>
        </is>
      </c>
      <c r="C37" s="45" t="n"/>
      <c r="D37" s="41" t="n"/>
      <c r="E37" s="41" t="n"/>
      <c r="F37" s="41" t="n"/>
      <c r="G37" s="46" t="inlineStr">
        <is>
          <t>B</t>
        </is>
      </c>
      <c r="H37" s="47" t="inlineStr">
        <is>
          <t>Interés en gift cards o créditos Cruz Verde para devoluciones y pagos (reunión del 25 de septiembre).</t>
        </is>
      </c>
      <c r="I37" s="48" t="n"/>
    </row>
    <row r="39" ht="24" customHeight="1">
      <c r="A39" s="7" t="inlineStr">
        <is>
          <t>Preguntas sobre contracargos y fraude</t>
        </is>
      </c>
      <c r="B39" s="4" t="n"/>
      <c r="C39" s="4" t="n"/>
      <c r="D39" s="4" t="n"/>
      <c r="E39" s="4" t="n"/>
      <c r="F39" s="4" t="n"/>
      <c r="G39" s="4" t="n"/>
      <c r="H39" s="4" t="n"/>
      <c r="I39" s="4" t="n"/>
    </row>
    <row r="40" ht="20" customHeight="1">
      <c r="A40" s="15" t="inlineStr">
        <is>
          <t>ID</t>
        </is>
      </c>
      <c r="B40" s="15" t="inlineStr">
        <is>
          <t>Pregunta</t>
        </is>
      </c>
      <c r="C40" s="15" t="inlineStr">
        <is>
          <t>Respuesta de Cruz Verde</t>
        </is>
      </c>
      <c r="D40" s="39" t="n"/>
      <c r="E40" s="39" t="n"/>
      <c r="F40" s="39" t="n"/>
      <c r="G40" s="15" t="inlineStr">
        <is>
          <t>Prioridad</t>
        </is>
      </c>
      <c r="H40" s="15" t="inlineStr">
        <is>
          <t>Dato que tenemos hoy, a confirmar</t>
        </is>
      </c>
      <c r="I40" s="39" t="n"/>
    </row>
    <row r="41" ht="33.59999999999999" customHeight="1">
      <c r="A41" s="43" t="inlineStr">
        <is>
          <t>8.7</t>
        </is>
      </c>
      <c r="B41" s="44" t="inlineStr">
        <is>
          <t>Contracargos en los últimos 12 meses: número y monto (COP).</t>
        </is>
      </c>
      <c r="C41" s="45" t="n"/>
      <c r="D41" s="41" t="n"/>
      <c r="E41" s="41" t="n"/>
      <c r="F41" s="41" t="n"/>
      <c r="G41" s="46" t="inlineStr">
        <is>
          <t>B</t>
        </is>
      </c>
      <c r="H41" s="47" t="inlineStr">
        <is>
          <t>Contracargos muy bajos (reunión del 25 de septiembre).</t>
        </is>
      </c>
      <c r="I41" s="48" t="n"/>
    </row>
    <row r="42" ht="33.59999999999999" customHeight="1">
      <c r="A42" s="43" t="inlineStr">
        <is>
          <t>8.8</t>
        </is>
      </c>
      <c r="B42" s="44" t="inlineStr">
        <is>
          <t>Tasa de contracargos sobre los pagos aprobados con tarjeta (%).</t>
        </is>
      </c>
      <c r="C42" s="45" t="n"/>
      <c r="D42" s="41" t="n"/>
      <c r="E42" s="41" t="n"/>
      <c r="F42" s="41" t="n"/>
      <c r="G42" s="46" t="inlineStr">
        <is>
          <t>B</t>
        </is>
      </c>
      <c r="H42" s="47" t="n"/>
      <c r="I42" s="48" t="n"/>
    </row>
    <row r="43" ht="33.59999999999999" customHeight="1">
      <c r="A43" s="43" t="inlineStr">
        <is>
          <t>8.9</t>
        </is>
      </c>
      <c r="B43" s="44" t="inlineStr">
        <is>
          <t>Motivos principales de contracargo.</t>
        </is>
      </c>
      <c r="C43" s="45" t="n"/>
      <c r="D43" s="41" t="n"/>
      <c r="E43" s="41" t="n"/>
      <c r="F43" s="41" t="n"/>
      <c r="G43" s="46" t="inlineStr">
        <is>
          <t>C</t>
        </is>
      </c>
      <c r="H43" s="47" t="n"/>
      <c r="I43" s="48" t="n"/>
    </row>
    <row r="44" ht="33.59999999999999" customHeight="1">
      <c r="A44" s="43" t="inlineStr">
        <is>
          <t>8.10</t>
        </is>
      </c>
      <c r="B44" s="44" t="inlineStr">
        <is>
          <t>Porcentaje de contracargos ganados en disputa.</t>
        </is>
      </c>
      <c r="C44" s="45" t="n"/>
      <c r="D44" s="41" t="n"/>
      <c r="E44" s="41" t="n"/>
      <c r="F44" s="41" t="n"/>
      <c r="G44" s="46" t="inlineStr">
        <is>
          <t>C</t>
        </is>
      </c>
      <c r="H44" s="47" t="n"/>
      <c r="I44" s="48" t="n"/>
    </row>
    <row r="45" ht="33.59999999999999" customHeight="1">
      <c r="A45" s="43" t="inlineStr">
        <is>
          <t>8.11</t>
        </is>
      </c>
      <c r="B45" s="44" t="inlineStr">
        <is>
          <t>Tasa de fraude confirmado sobre los pagos aprobados (%).</t>
        </is>
      </c>
      <c r="C45" s="45" t="n"/>
      <c r="D45" s="41" t="n"/>
      <c r="E45" s="41" t="n"/>
      <c r="F45" s="41" t="n"/>
      <c r="G45" s="46" t="inlineStr">
        <is>
          <t>B</t>
        </is>
      </c>
      <c r="H45" s="47" t="inlineStr">
        <is>
          <t>Por debajo de 0,05% (llamada del 21 de mayo).</t>
        </is>
      </c>
      <c r="I45" s="48" t="n"/>
    </row>
    <row r="46" ht="33.59999999999999" customHeight="1">
      <c r="A46" s="43" t="inlineStr">
        <is>
          <t>8.12</t>
        </is>
      </c>
      <c r="B46" s="44" t="inlineStr">
        <is>
          <t>Herramientas o reglas de prevención de fraude que usan además de las de Mercado Pago.</t>
        </is>
      </c>
      <c r="C46" s="45" t="n"/>
      <c r="D46" s="41" t="n"/>
      <c r="E46" s="41" t="n"/>
      <c r="F46" s="41" t="n"/>
      <c r="G46" s="46" t="inlineStr">
        <is>
          <t>C</t>
        </is>
      </c>
      <c r="H46" s="47" t="inlineStr">
        <is>
          <t>Una herramienta antifraude no es prioridad en esta etapa (reunión del 25 de septiembre).</t>
        </is>
      </c>
      <c r="I46" s="48" t="n"/>
    </row>
  </sheetData>
  <mergeCells count="57">
    <mergeCell ref="A7:I7"/>
    <mergeCell ref="H35:I35"/>
    <mergeCell ref="H20:I20"/>
    <mergeCell ref="B23:D23"/>
    <mergeCell ref="H29:I29"/>
    <mergeCell ref="H43:I43"/>
    <mergeCell ref="A18:I18"/>
    <mergeCell ref="H41:I41"/>
    <mergeCell ref="B29:D29"/>
    <mergeCell ref="H44:I44"/>
    <mergeCell ref="C37:F37"/>
    <mergeCell ref="H40:I40"/>
    <mergeCell ref="B28:D28"/>
    <mergeCell ref="H25:I25"/>
    <mergeCell ref="H34:I34"/>
    <mergeCell ref="H21:I21"/>
    <mergeCell ref="A2:I2"/>
    <mergeCell ref="A5:I5"/>
    <mergeCell ref="H46:I46"/>
    <mergeCell ref="A32:I32"/>
    <mergeCell ref="C34:F34"/>
    <mergeCell ref="A17:I17"/>
    <mergeCell ref="B30:D30"/>
    <mergeCell ref="C33:F33"/>
    <mergeCell ref="H36:I36"/>
    <mergeCell ref="C42:F42"/>
    <mergeCell ref="A4:I4"/>
    <mergeCell ref="B24:D24"/>
    <mergeCell ref="B20:D20"/>
    <mergeCell ref="C45:F45"/>
    <mergeCell ref="A19:I19"/>
    <mergeCell ref="C35:F35"/>
    <mergeCell ref="H45:I45"/>
    <mergeCell ref="B26:D26"/>
    <mergeCell ref="H37:I37"/>
    <mergeCell ref="H22:I22"/>
    <mergeCell ref="H28:I28"/>
    <mergeCell ref="A39:I39"/>
    <mergeCell ref="B25:D25"/>
    <mergeCell ref="C41:F41"/>
    <mergeCell ref="H27:I27"/>
    <mergeCell ref="C44:F44"/>
    <mergeCell ref="C40:F40"/>
    <mergeCell ref="B22:D22"/>
    <mergeCell ref="H24:I24"/>
    <mergeCell ref="H42:I42"/>
    <mergeCell ref="C43:F43"/>
    <mergeCell ref="H33:I33"/>
    <mergeCell ref="A1:I1"/>
    <mergeCell ref="B27:D27"/>
    <mergeCell ref="C46:F46"/>
    <mergeCell ref="H23:I23"/>
    <mergeCell ref="B21:D21"/>
    <mergeCell ref="A6:I6"/>
    <mergeCell ref="C36:F36"/>
    <mergeCell ref="H30:I30"/>
    <mergeCell ref="H26:I26"/>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3E4FE0"/>
    <outlinePr summaryBelow="1" summaryRight="1"/>
    <pageSetUpPr fitToPage="1"/>
  </sheetPr>
  <dimension ref="A1:I35"/>
  <sheetViews>
    <sheetView showGridLines="0" workbookViewId="0">
      <pane ySplit="2" topLeftCell="A3" activePane="bottomLeft" state="frozen"/>
      <selection pane="bottomLeft" activeCell="A1" sqref="A1"/>
    </sheetView>
  </sheetViews>
  <sheetFormatPr baseColWidth="8" defaultRowHeight="15"/>
  <cols>
    <col width="6" customWidth="1" min="1" max="1"/>
    <col width="44" customWidth="1" min="2" max="2"/>
    <col width="15" customWidth="1" min="3" max="3"/>
    <col width="15" customWidth="1" min="4" max="4"/>
    <col width="15" customWidth="1" min="5" max="5"/>
    <col width="15" customWidth="1" min="6" max="6"/>
    <col width="15" customWidth="1" min="7" max="7"/>
    <col width="15" customWidth="1" min="8" max="8"/>
    <col width="36" customWidth="1" min="9" max="9"/>
  </cols>
  <sheetData>
    <row r="1" ht="34" customHeight="1">
      <c r="A1" s="12" t="inlineStr">
        <is>
          <t>9. Costos actuales de pagos</t>
        </is>
      </c>
      <c r="B1" s="2" t="n"/>
      <c r="C1" s="2" t="n"/>
      <c r="D1" s="2" t="n"/>
      <c r="E1" s="2" t="n"/>
      <c r="F1" s="2" t="n"/>
      <c r="G1" s="2" t="n"/>
      <c r="H1" s="2" t="n"/>
      <c r="I1" s="2" t="n"/>
    </row>
    <row r="2" ht="24" customHeight="1">
      <c r="A2" s="24" t="inlineStr">
        <is>
          <t>Tarifas vigentes y costo promedio de los últimos 3 meses. Cifras en COP.</t>
        </is>
      </c>
      <c r="B2" s="4" t="n"/>
      <c r="C2" s="4" t="n"/>
      <c r="D2" s="4" t="n"/>
      <c r="E2" s="4" t="n"/>
      <c r="F2" s="4" t="n"/>
      <c r="G2" s="4" t="n"/>
      <c r="H2" s="4" t="n"/>
      <c r="I2" s="4" t="n"/>
    </row>
    <row r="4" ht="24" customHeight="1">
      <c r="A4" s="7" t="inlineStr">
        <is>
          <t>9.1  Tarifas por medio de pago</t>
        </is>
      </c>
      <c r="B4" s="4" t="n"/>
      <c r="C4" s="4" t="n"/>
      <c r="D4" s="4" t="n"/>
      <c r="E4" s="4" t="n"/>
      <c r="F4" s="4" t="n"/>
      <c r="G4" s="4" t="n"/>
      <c r="H4" s="4" t="n"/>
      <c r="I4" s="4" t="n"/>
    </row>
    <row r="5" ht="18.42" customHeight="1">
      <c r="A5" s="25" t="inlineStr">
        <is>
          <t>Prioridad A. Área sugerida: Finanzas. Lo usamos para: costo transaccional: la línea base contra la que se mide el ahorro.</t>
        </is>
      </c>
    </row>
    <row r="6" ht="33.59999999999999" customHeight="1">
      <c r="B6" s="15" t="inlineStr">
        <is>
          <t>Medio de pago</t>
        </is>
      </c>
      <c r="C6" s="15" t="inlineStr">
        <is>
          <t>Comisión variable (%)</t>
        </is>
      </c>
      <c r="D6" s="15" t="inlineStr">
        <is>
          <t>Comisión fija por transacción (COP)</t>
        </is>
      </c>
      <c r="E6" s="15" t="inlineStr">
        <is>
          <t>¿La tarifa incluye IVA?</t>
        </is>
      </c>
      <c r="F6" s="15" t="inlineStr">
        <is>
          <t>Plazo de liquidación (días)</t>
        </is>
      </c>
      <c r="G6" s="15" t="inlineStr">
        <is>
          <t>Costo mensual promedio (COP)</t>
        </is>
      </c>
      <c r="H6" s="15" t="inlineStr">
        <is>
          <t>Comentarios</t>
        </is>
      </c>
      <c r="I6" s="39" t="n"/>
    </row>
    <row r="7" ht="19.8" customHeight="1">
      <c r="A7" s="29" t="inlineStr">
        <is>
          <t>Ej.</t>
        </is>
      </c>
      <c r="B7" s="30" t="inlineStr">
        <is>
          <t>PSE</t>
        </is>
      </c>
      <c r="C7" s="32" t="n">
        <v>0.025</v>
      </c>
      <c r="D7" s="31" t="n">
        <v>900</v>
      </c>
      <c r="E7" s="30" t="inlineStr">
        <is>
          <t>No</t>
        </is>
      </c>
      <c r="F7" s="31" t="n">
        <v>2</v>
      </c>
      <c r="G7" s="31" t="n">
        <v>12000000</v>
      </c>
      <c r="H7" s="30" t="inlineStr">
        <is>
          <t>Texto libre</t>
        </is>
      </c>
      <c r="I7" s="40" t="n"/>
    </row>
    <row r="8" ht="19.8" customHeight="1">
      <c r="B8" s="18" t="inlineStr">
        <is>
          <t>PSE</t>
        </is>
      </c>
      <c r="C8" s="53" t="n"/>
      <c r="D8" s="33" t="n"/>
      <c r="E8" s="23" t="n"/>
      <c r="F8" s="33" t="n"/>
      <c r="G8" s="33" t="n"/>
      <c r="H8" s="23" t="n"/>
      <c r="I8" s="41" t="n"/>
    </row>
    <row r="9" ht="19.8" customHeight="1">
      <c r="B9" s="18" t="inlineStr">
        <is>
          <t>Tarjeta de crédito</t>
        </is>
      </c>
      <c r="C9" s="53" t="n"/>
      <c r="D9" s="33" t="n"/>
      <c r="E9" s="23" t="n"/>
      <c r="F9" s="33" t="n"/>
      <c r="G9" s="33" t="n"/>
      <c r="H9" s="23" t="n"/>
      <c r="I9" s="41" t="n"/>
    </row>
    <row r="10" ht="19.8" customHeight="1">
      <c r="B10" s="18" t="inlineStr">
        <is>
          <t>Tarjeta de débito</t>
        </is>
      </c>
      <c r="C10" s="53" t="n"/>
      <c r="D10" s="33" t="n"/>
      <c r="E10" s="23" t="n"/>
      <c r="F10" s="33" t="n"/>
      <c r="G10" s="33" t="n"/>
      <c r="H10" s="23" t="n"/>
      <c r="I10" s="41" t="n"/>
    </row>
    <row r="11" ht="19.8" customHeight="1">
      <c r="B11" s="18" t="inlineStr">
        <is>
          <t>Efectivo</t>
        </is>
      </c>
      <c r="C11" s="53" t="n"/>
      <c r="D11" s="33" t="n"/>
      <c r="E11" s="23" t="n"/>
      <c r="F11" s="33" t="n"/>
      <c r="G11" s="33" t="n"/>
      <c r="H11" s="23" t="n"/>
      <c r="I11" s="41" t="n"/>
    </row>
    <row r="12" ht="19.8" customHeight="1">
      <c r="B12" s="18" t="inlineStr">
        <is>
          <t>Link de pago</t>
        </is>
      </c>
      <c r="C12" s="53" t="n"/>
      <c r="D12" s="33" t="n"/>
      <c r="E12" s="23" t="n"/>
      <c r="F12" s="33" t="n"/>
      <c r="G12" s="33" t="n"/>
      <c r="H12" s="23" t="n"/>
      <c r="I12" s="41" t="n"/>
    </row>
    <row r="13" ht="19.8" customHeight="1">
      <c r="B13" s="18" t="inlineStr">
        <is>
          <t>Otro (especificar)</t>
        </is>
      </c>
      <c r="C13" s="53" t="n"/>
      <c r="D13" s="33" t="n"/>
      <c r="E13" s="23" t="n"/>
      <c r="F13" s="33" t="n"/>
      <c r="G13" s="33" t="n"/>
      <c r="H13" s="23" t="n"/>
      <c r="I13" s="41" t="n"/>
    </row>
    <row r="15" ht="24" customHeight="1">
      <c r="A15" s="7" t="inlineStr">
        <is>
          <t>9.2  Otros costos asociados a pagos</t>
        </is>
      </c>
      <c r="B15" s="4" t="n"/>
      <c r="C15" s="4" t="n"/>
      <c r="D15" s="4" t="n"/>
      <c r="E15" s="4" t="n"/>
      <c r="F15" s="4" t="n"/>
      <c r="G15" s="4" t="n"/>
      <c r="H15" s="4" t="n"/>
      <c r="I15" s="4" t="n"/>
    </row>
    <row r="16" ht="18.42" customHeight="1">
      <c r="A16" s="25" t="inlineStr">
        <is>
          <t>Prioridad B. Área sugerida: Finanzas. Lo usamos para: costo transaccional: el costo total de la operación de pagos.</t>
        </is>
      </c>
    </row>
    <row r="17" ht="33.59999999999999" customHeight="1">
      <c r="B17" s="15" t="inlineStr">
        <is>
          <t>Concepto</t>
        </is>
      </c>
      <c r="C17" s="15" t="inlineStr">
        <is>
          <t>Costo (COP)</t>
        </is>
      </c>
      <c r="D17" s="15" t="inlineStr">
        <is>
          <t>Unidad</t>
        </is>
      </c>
      <c r="E17" s="15" t="inlineStr">
        <is>
          <t>Costo mensual promedio (COP)</t>
        </is>
      </c>
      <c r="F17" s="15" t="inlineStr">
        <is>
          <t>Comentarios</t>
        </is>
      </c>
      <c r="G17" s="39" t="n"/>
      <c r="H17" s="39" t="n"/>
      <c r="I17" s="39" t="n"/>
    </row>
    <row r="18" ht="19.8" customHeight="1">
      <c r="A18" s="29" t="inlineStr">
        <is>
          <t>Ej.</t>
        </is>
      </c>
      <c r="B18" s="30" t="inlineStr">
        <is>
          <t>Devolución</t>
        </is>
      </c>
      <c r="C18" s="31" t="n">
        <v>3000</v>
      </c>
      <c r="D18" s="30" t="inlineStr">
        <is>
          <t>Por evento</t>
        </is>
      </c>
      <c r="E18" s="31" t="n">
        <v>150000</v>
      </c>
      <c r="F18" s="30" t="inlineStr">
        <is>
          <t>Texto libre</t>
        </is>
      </c>
      <c r="G18" s="40" t="n"/>
      <c r="H18" s="40" t="n"/>
      <c r="I18" s="40" t="n"/>
    </row>
    <row r="19" ht="19.8" customHeight="1">
      <c r="B19" s="18" t="inlineStr">
        <is>
          <t>Devolución</t>
        </is>
      </c>
      <c r="C19" s="33" t="n"/>
      <c r="D19" s="23" t="n"/>
      <c r="E19" s="33" t="n"/>
      <c r="F19" s="23" t="n"/>
      <c r="G19" s="41" t="n"/>
      <c r="H19" s="41" t="n"/>
      <c r="I19" s="41" t="n"/>
    </row>
    <row r="20" ht="19.8" customHeight="1">
      <c r="B20" s="18" t="inlineStr">
        <is>
          <t>Contracargo</t>
        </is>
      </c>
      <c r="C20" s="33" t="n"/>
      <c r="D20" s="23" t="n"/>
      <c r="E20" s="33" t="n"/>
      <c r="F20" s="23" t="n"/>
      <c r="G20" s="41" t="n"/>
      <c r="H20" s="41" t="n"/>
      <c r="I20" s="41" t="n"/>
    </row>
    <row r="21" ht="19.8" customHeight="1">
      <c r="B21" s="18" t="inlineStr">
        <is>
          <t>Retiro o transferencia a cuenta bancaria</t>
        </is>
      </c>
      <c r="C21" s="33" t="n"/>
      <c r="D21" s="23" t="n"/>
      <c r="E21" s="33" t="n"/>
      <c r="F21" s="23" t="n"/>
      <c r="G21" s="41" t="n"/>
      <c r="H21" s="41" t="n"/>
      <c r="I21" s="41" t="n"/>
    </row>
    <row r="22" ht="19.8" customHeight="1">
      <c r="B22" s="18" t="inlineStr">
        <is>
          <t>Adelanto de liquidación</t>
        </is>
      </c>
      <c r="C22" s="33" t="n"/>
      <c r="D22" s="23" t="n"/>
      <c r="E22" s="33" t="n"/>
      <c r="F22" s="23" t="n"/>
      <c r="G22" s="41" t="n"/>
      <c r="H22" s="41" t="n"/>
      <c r="I22" s="41" t="n"/>
    </row>
    <row r="23" ht="19.8" customHeight="1">
      <c r="B23" s="18" t="inlineStr">
        <is>
          <t>Prevención de fraude</t>
        </is>
      </c>
      <c r="C23" s="33" t="n"/>
      <c r="D23" s="23" t="n"/>
      <c r="E23" s="33" t="n"/>
      <c r="F23" s="23" t="n"/>
      <c r="G23" s="41" t="n"/>
      <c r="H23" s="41" t="n"/>
      <c r="I23" s="41" t="n"/>
    </row>
    <row r="24" ht="19.8" customHeight="1">
      <c r="B24" s="18" t="inlineStr">
        <is>
          <t>Autenticación 3DS</t>
        </is>
      </c>
      <c r="C24" s="33" t="n"/>
      <c r="D24" s="23" t="n"/>
      <c r="E24" s="33" t="n"/>
      <c r="F24" s="23" t="n"/>
      <c r="G24" s="41" t="n"/>
      <c r="H24" s="41" t="n"/>
      <c r="I24" s="41" t="n"/>
    </row>
    <row r="25" ht="19.8" customHeight="1">
      <c r="B25" s="18" t="inlineStr">
        <is>
          <t>Cargo fijo o mensualidad de plataforma</t>
        </is>
      </c>
      <c r="C25" s="33" t="n"/>
      <c r="D25" s="23" t="n"/>
      <c r="E25" s="33" t="n"/>
      <c r="F25" s="23" t="n"/>
      <c r="G25" s="41" t="n"/>
      <c r="H25" s="41" t="n"/>
      <c r="I25" s="41" t="n"/>
    </row>
    <row r="26" ht="19.8" customHeight="1">
      <c r="B26" s="18" t="inlineStr">
        <is>
          <t>Otro (especificar)</t>
        </is>
      </c>
      <c r="C26" s="33" t="n"/>
      <c r="D26" s="23" t="n"/>
      <c r="E26" s="33" t="n"/>
      <c r="F26" s="23" t="n"/>
      <c r="G26" s="41" t="n"/>
      <c r="H26" s="41" t="n"/>
      <c r="I26" s="41" t="n"/>
    </row>
    <row r="28" ht="24" customHeight="1">
      <c r="A28" s="7" t="inlineStr">
        <is>
          <t>Preguntas sobre costos y contratos</t>
        </is>
      </c>
      <c r="B28" s="4" t="n"/>
      <c r="C28" s="4" t="n"/>
      <c r="D28" s="4" t="n"/>
      <c r="E28" s="4" t="n"/>
      <c r="F28" s="4" t="n"/>
      <c r="G28" s="4" t="n"/>
      <c r="H28" s="4" t="n"/>
      <c r="I28" s="4" t="n"/>
    </row>
    <row r="29" ht="20" customHeight="1">
      <c r="A29" s="15" t="inlineStr">
        <is>
          <t>ID</t>
        </is>
      </c>
      <c r="B29" s="15" t="inlineStr">
        <is>
          <t>Pregunta</t>
        </is>
      </c>
      <c r="C29" s="15" t="inlineStr">
        <is>
          <t>Respuesta de Cruz Verde</t>
        </is>
      </c>
      <c r="D29" s="39" t="n"/>
      <c r="E29" s="39" t="n"/>
      <c r="F29" s="39" t="n"/>
      <c r="G29" s="15" t="inlineStr">
        <is>
          <t>Prioridad</t>
        </is>
      </c>
      <c r="H29" s="15" t="inlineStr">
        <is>
          <t>Dato que tenemos hoy, a confirmar</t>
        </is>
      </c>
      <c r="I29" s="39" t="n"/>
    </row>
    <row r="30" ht="33.59999999999999" customHeight="1">
      <c r="A30" s="43" t="inlineStr">
        <is>
          <t>9.3</t>
        </is>
      </c>
      <c r="B30" s="44" t="inlineStr">
        <is>
          <t>Costo total mensual de procesamiento de pagos del canal digital, promedio de los últimos 3 meses (COP).</t>
        </is>
      </c>
      <c r="C30" s="45" t="n"/>
      <c r="D30" s="41" t="n"/>
      <c r="E30" s="41" t="n"/>
      <c r="F30" s="41" t="n"/>
      <c r="G30" s="46" t="inlineStr">
        <is>
          <t>A</t>
        </is>
      </c>
      <c r="H30" s="47" t="n"/>
      <c r="I30" s="48" t="n"/>
    </row>
    <row r="31" ht="33.59999999999999" customHeight="1">
      <c r="A31" s="43" t="inlineStr">
        <is>
          <t>9.4</t>
        </is>
      </c>
      <c r="B31" s="44" t="inlineStr">
        <is>
          <t>Documento de soporte: últimas 3 liquidaciones o facturas mensuales de Mercado Pago.</t>
        </is>
      </c>
      <c r="C31" s="45" t="n"/>
      <c r="D31" s="41" t="n"/>
      <c r="E31" s="41" t="n"/>
      <c r="F31" s="41" t="n"/>
      <c r="G31" s="46" t="inlineStr">
        <is>
          <t>A</t>
        </is>
      </c>
      <c r="H31" s="47" t="n"/>
      <c r="I31" s="48" t="n"/>
    </row>
    <row r="32" ht="47.4" customHeight="1">
      <c r="A32" s="43" t="inlineStr">
        <is>
          <t>9.5</t>
        </is>
      </c>
      <c r="B32" s="44" t="inlineStr">
        <is>
          <t>Vigencia del contrato con Mercado Pago y condiciones relevantes: exclusividad, volúmenes mínimos, descuentos por volumen.</t>
        </is>
      </c>
      <c r="C32" s="45" t="n"/>
      <c r="D32" s="41" t="n"/>
      <c r="E32" s="41" t="n"/>
      <c r="F32" s="41" t="n"/>
      <c r="G32" s="46" t="inlineStr">
        <is>
          <t>A</t>
        </is>
      </c>
      <c r="H32" s="47" t="inlineStr">
        <is>
          <t>Mercado Pago es el único proveedor (reunión del 25 de septiembre).</t>
        </is>
      </c>
      <c r="I32" s="48" t="n"/>
    </row>
    <row r="33" ht="47.4" customHeight="1">
      <c r="A33" s="43" t="inlineStr">
        <is>
          <t>9.6</t>
        </is>
      </c>
      <c r="B33" s="44" t="inlineStr">
        <is>
          <t>Retenciones que se aplican en la liquidación (retención en la fuente, ReteICA, ReteIVA) y cómo las registran.</t>
        </is>
      </c>
      <c r="C33" s="45" t="n"/>
      <c r="D33" s="41" t="n"/>
      <c r="E33" s="41" t="n"/>
      <c r="F33" s="41" t="n"/>
      <c r="G33" s="46" t="inlineStr">
        <is>
          <t>B</t>
        </is>
      </c>
      <c r="H33" s="47" t="n"/>
      <c r="I33" s="48" t="n"/>
    </row>
    <row r="34" ht="33.59999999999999" customHeight="1">
      <c r="A34" s="43" t="inlineStr">
        <is>
          <t>9.7</t>
        </is>
      </c>
      <c r="B34" s="44" t="inlineStr">
        <is>
          <t>Tarifas ofrecidas por los proveedores que han evaluado, si pueden compartirlas.</t>
        </is>
      </c>
      <c r="C34" s="45" t="n"/>
      <c r="D34" s="41" t="n"/>
      <c r="E34" s="41" t="n"/>
      <c r="F34" s="41" t="n"/>
      <c r="G34" s="46" t="inlineStr">
        <is>
          <t>C</t>
        </is>
      </c>
      <c r="H34" s="47" t="inlineStr">
        <is>
          <t>Proveedores conversados: PayU, Redeban, Movii y Kushki (reunión del 25 de septiembre).</t>
        </is>
      </c>
      <c r="I34" s="48" t="n"/>
    </row>
    <row r="35" ht="33.59999999999999" customHeight="1">
      <c r="A35" s="43" t="inlineStr">
        <is>
          <t>9.8</t>
        </is>
      </c>
      <c r="B35" s="44" t="inlineStr">
        <is>
          <t>Moneda y periodicidad en que prefieren recibir la facturación de Yuno.</t>
        </is>
      </c>
      <c r="C35" s="45" t="n"/>
      <c r="D35" s="41" t="n"/>
      <c r="E35" s="41" t="n"/>
      <c r="F35" s="41" t="n"/>
      <c r="G35" s="46" t="inlineStr">
        <is>
          <t>B</t>
        </is>
      </c>
      <c r="H35" s="47" t="inlineStr">
        <is>
          <t>Prefieren negociar en pesos (reunión del 25 de septiembre).</t>
        </is>
      </c>
      <c r="I35" s="48" t="n"/>
    </row>
  </sheetData>
  <mergeCells count="39">
    <mergeCell ref="H35:I35"/>
    <mergeCell ref="H29:I29"/>
    <mergeCell ref="H10:I10"/>
    <mergeCell ref="H31:I31"/>
    <mergeCell ref="C32:F32"/>
    <mergeCell ref="H9:I9"/>
    <mergeCell ref="H34:I34"/>
    <mergeCell ref="A2:I2"/>
    <mergeCell ref="H6:I6"/>
    <mergeCell ref="A5:I5"/>
    <mergeCell ref="C34:F34"/>
    <mergeCell ref="C30:F30"/>
    <mergeCell ref="C33:F33"/>
    <mergeCell ref="F19:I19"/>
    <mergeCell ref="F25:I25"/>
    <mergeCell ref="A4:I4"/>
    <mergeCell ref="H11:I11"/>
    <mergeCell ref="A28:I28"/>
    <mergeCell ref="H32:I32"/>
    <mergeCell ref="H7:I7"/>
    <mergeCell ref="C35:F35"/>
    <mergeCell ref="F24:I24"/>
    <mergeCell ref="C29:F29"/>
    <mergeCell ref="F21:I21"/>
    <mergeCell ref="F20:I20"/>
    <mergeCell ref="H13:I13"/>
    <mergeCell ref="A15:I15"/>
    <mergeCell ref="F18:I18"/>
    <mergeCell ref="H12:I12"/>
    <mergeCell ref="F26:I26"/>
    <mergeCell ref="C31:F31"/>
    <mergeCell ref="F17:I17"/>
    <mergeCell ref="H33:I33"/>
    <mergeCell ref="A1:I1"/>
    <mergeCell ref="H8:I8"/>
    <mergeCell ref="F23:I23"/>
    <mergeCell ref="H30:I30"/>
    <mergeCell ref="A16:I16"/>
    <mergeCell ref="F22:I22"/>
  </mergeCells>
  <dataValidations count="2">
    <dataValidation sqref="E8 E9 E10 E11 E12 E13" showDropDown="0" showInputMessage="0" showErrorMessage="0" allowBlank="1" error="Elegir una opción de la lista" type="list">
      <formula1>"Sí,No"</formula1>
    </dataValidation>
    <dataValidation sqref="D19 D20 D21 D22 D23 D24 D25 D26" showDropDown="0" showInputMessage="0" showErrorMessage="0" allowBlank="1" error="Elegir una opción de la lista" type="list">
      <formula1>"Por evento,Mensual,Anual,Porcentaje"</formula1>
    </dataValidation>
  </dataValidations>
  <pageMargins left="0.75" right="0.75" top="1" bottom="1" header="0.5" footer="0.5"/>
  <pageSetup orientation="landscape" fitToHeight="0" fitToWidth="1"/>
</worksheet>
</file>

<file path=xl/worksheets/sheet12.xml><?xml version="1.0" encoding="utf-8"?>
<worksheet xmlns="http://schemas.openxmlformats.org/spreadsheetml/2006/main">
  <sheetPr>
    <tabColor rgb="003E4FE0"/>
    <outlinePr summaryBelow="1" summaryRight="1"/>
    <pageSetUpPr fitToPage="1"/>
  </sheetPr>
  <dimension ref="A1:I18"/>
  <sheetViews>
    <sheetView showGridLines="0" workbookViewId="0">
      <pane ySplit="2" topLeftCell="A3" activePane="bottomLeft" state="frozen"/>
      <selection pane="bottomLeft" activeCell="A1" sqref="A1"/>
    </sheetView>
  </sheetViews>
  <sheetFormatPr baseColWidth="8" defaultRowHeight="15"/>
  <cols>
    <col width="6" customWidth="1" min="1" max="1"/>
    <col width="44" customWidth="1" min="2" max="2"/>
    <col width="15" customWidth="1" min="3" max="3"/>
    <col width="15" customWidth="1" min="4" max="4"/>
    <col width="15" customWidth="1" min="5" max="5"/>
    <col width="15" customWidth="1" min="6" max="6"/>
    <col width="15" customWidth="1" min="7" max="7"/>
    <col width="15" customWidth="1" min="8" max="8"/>
    <col width="36" customWidth="1" min="9" max="9"/>
  </cols>
  <sheetData>
    <row r="1" ht="34" customHeight="1">
      <c r="A1" s="12" t="inlineStr">
        <is>
          <t>10. Conciliación</t>
        </is>
      </c>
      <c r="B1" s="2" t="n"/>
      <c r="C1" s="2" t="n"/>
      <c r="D1" s="2" t="n"/>
      <c r="E1" s="2" t="n"/>
      <c r="F1" s="2" t="n"/>
      <c r="G1" s="2" t="n"/>
      <c r="H1" s="2" t="n"/>
      <c r="I1" s="2" t="n"/>
    </row>
    <row r="2" ht="24" customHeight="1">
      <c r="A2" s="24" t="inlineStr">
        <is>
          <t>Proceso actual de conciliación de los pagos del canal digital.</t>
        </is>
      </c>
      <c r="B2" s="4" t="n"/>
      <c r="C2" s="4" t="n"/>
      <c r="D2" s="4" t="n"/>
      <c r="E2" s="4" t="n"/>
      <c r="F2" s="4" t="n"/>
      <c r="G2" s="4" t="n"/>
      <c r="H2" s="4" t="n"/>
      <c r="I2" s="4" t="n"/>
    </row>
    <row r="4" ht="24" customHeight="1">
      <c r="A4" s="7" t="inlineStr">
        <is>
          <t>Preguntas sobre el proceso de conciliación</t>
        </is>
      </c>
      <c r="B4" s="4" t="n"/>
      <c r="C4" s="4" t="n"/>
      <c r="D4" s="4" t="n"/>
      <c r="E4" s="4" t="n"/>
      <c r="F4" s="4" t="n"/>
      <c r="G4" s="4" t="n"/>
      <c r="H4" s="4" t="n"/>
      <c r="I4" s="4" t="n"/>
    </row>
    <row r="5" ht="20" customHeight="1">
      <c r="A5" s="15" t="inlineStr">
        <is>
          <t>ID</t>
        </is>
      </c>
      <c r="B5" s="15" t="inlineStr">
        <is>
          <t>Pregunta</t>
        </is>
      </c>
      <c r="C5" s="15" t="inlineStr">
        <is>
          <t>Respuesta de Cruz Verde</t>
        </is>
      </c>
      <c r="D5" s="39" t="n"/>
      <c r="E5" s="39" t="n"/>
      <c r="F5" s="39" t="n"/>
      <c r="G5" s="15" t="inlineStr">
        <is>
          <t>Prioridad</t>
        </is>
      </c>
      <c r="H5" s="15" t="inlineStr">
        <is>
          <t>Dato que tenemos hoy, a confirmar</t>
        </is>
      </c>
      <c r="I5" s="39" t="n"/>
    </row>
    <row r="6" ht="33.59999999999999" customHeight="1">
      <c r="A6" s="43" t="inlineStr">
        <is>
          <t>10.1</t>
        </is>
      </c>
      <c r="B6" s="44" t="inlineStr">
        <is>
          <t>Describir el proceso actual de conciliación de pagos digitales, paso a paso.</t>
        </is>
      </c>
      <c r="C6" s="45" t="n"/>
      <c r="D6" s="41" t="n"/>
      <c r="E6" s="41" t="n"/>
      <c r="F6" s="41" t="n"/>
      <c r="G6" s="46" t="inlineStr">
        <is>
          <t>A</t>
        </is>
      </c>
      <c r="H6" s="47" t="inlineStr">
        <is>
          <t>La conciliación es el primer frente de interés (reunión del 25 de septiembre).</t>
        </is>
      </c>
      <c r="I6" s="48" t="n"/>
    </row>
    <row r="7" ht="33.59999999999999" customHeight="1">
      <c r="A7" s="43" t="inlineStr">
        <is>
          <t>10.2</t>
        </is>
      </c>
      <c r="B7" s="44" t="inlineStr">
        <is>
          <t>Fuentes que cruzan hoy. Por ejemplo: reporte de Mercado Pago, extractos bancarios, sistema de pedidos, ERP.</t>
        </is>
      </c>
      <c r="C7" s="45" t="n"/>
      <c r="D7" s="41" t="n"/>
      <c r="E7" s="41" t="n"/>
      <c r="F7" s="41" t="n"/>
      <c r="G7" s="46" t="inlineStr">
        <is>
          <t>A</t>
        </is>
      </c>
      <c r="H7" s="47" t="n"/>
      <c r="I7" s="48" t="n"/>
    </row>
    <row r="8" ht="33.59999999999999" customHeight="1">
      <c r="A8" s="43" t="inlineStr">
        <is>
          <t>10.3</t>
        </is>
      </c>
      <c r="B8" s="44" t="inlineStr">
        <is>
          <t>Sistema contable o ERP donde se registra el recaudo.</t>
        </is>
      </c>
      <c r="C8" s="45" t="n"/>
      <c r="D8" s="41" t="n"/>
      <c r="E8" s="41" t="n"/>
      <c r="F8" s="41" t="n"/>
      <c r="G8" s="46" t="inlineStr">
        <is>
          <t>A</t>
        </is>
      </c>
      <c r="H8" s="47" t="n"/>
      <c r="I8" s="48" t="n"/>
    </row>
    <row r="9" ht="33.59999999999999" customHeight="1">
      <c r="A9" s="43" t="inlineStr">
        <is>
          <t>10.4</t>
        </is>
      </c>
      <c r="B9" s="44" t="inlineStr">
        <is>
          <t>Frecuencia de la conciliación: diaria, semanal o mensual.</t>
        </is>
      </c>
      <c r="C9" s="45" t="n"/>
      <c r="D9" s="41" t="n"/>
      <c r="E9" s="41" t="n"/>
      <c r="F9" s="41" t="n"/>
      <c r="G9" s="46" t="inlineStr">
        <is>
          <t>A</t>
        </is>
      </c>
      <c r="H9" s="47" t="n"/>
      <c r="I9" s="48" t="n"/>
    </row>
    <row r="10" ht="33.59999999999999" customHeight="1">
      <c r="A10" s="43" t="inlineStr">
        <is>
          <t>10.5</t>
        </is>
      </c>
      <c r="B10" s="44" t="inlineStr">
        <is>
          <t>Número o porcentaje de partidas que no cruzan de forma automática cada mes.</t>
        </is>
      </c>
      <c r="C10" s="45" t="n"/>
      <c r="D10" s="41" t="n"/>
      <c r="E10" s="41" t="n"/>
      <c r="F10" s="41" t="n"/>
      <c r="G10" s="46" t="inlineStr">
        <is>
          <t>A</t>
        </is>
      </c>
      <c r="H10" s="47" t="n"/>
      <c r="I10" s="48" t="n"/>
    </row>
    <row r="11" ht="47.4" customHeight="1">
      <c r="A11" s="43" t="inlineStr">
        <is>
          <t>10.6</t>
        </is>
      </c>
      <c r="B11" s="44" t="inlineStr">
        <is>
          <t>Causas más frecuentes de diferencias. Por ejemplo: devoluciones, retenciones, comisiones, pagos duplicados, pagos de PSE confirmados tarde.</t>
        </is>
      </c>
      <c r="C11" s="45" t="n"/>
      <c r="D11" s="41" t="n"/>
      <c r="E11" s="41" t="n"/>
      <c r="F11" s="41" t="n"/>
      <c r="G11" s="46" t="inlineStr">
        <is>
          <t>A</t>
        </is>
      </c>
      <c r="H11" s="47" t="n"/>
      <c r="I11" s="48" t="n"/>
    </row>
    <row r="12" ht="33.59999999999999" customHeight="1">
      <c r="A12" s="43" t="inlineStr">
        <is>
          <t>10.7</t>
        </is>
      </c>
      <c r="B12" s="44" t="inlineStr">
        <is>
          <t>Días que toma el cierre mensual de pagos.</t>
        </is>
      </c>
      <c r="C12" s="45" t="n"/>
      <c r="D12" s="41" t="n"/>
      <c r="E12" s="41" t="n"/>
      <c r="F12" s="41" t="n"/>
      <c r="G12" s="46" t="inlineStr">
        <is>
          <t>B</t>
        </is>
      </c>
      <c r="H12" s="47" t="n"/>
      <c r="I12" s="48" t="n"/>
    </row>
    <row r="13" ht="33.59999999999999" customHeight="1">
      <c r="A13" s="43" t="inlineStr">
        <is>
          <t>10.8</t>
        </is>
      </c>
      <c r="B13" s="44" t="inlineStr">
        <is>
          <t>Monto promedio de partidas pendientes por conciliar al cierre de mes (COP).</t>
        </is>
      </c>
      <c r="C13" s="45" t="n"/>
      <c r="D13" s="41" t="n"/>
      <c r="E13" s="41" t="n"/>
      <c r="F13" s="41" t="n"/>
      <c r="G13" s="46" t="inlineStr">
        <is>
          <t>B</t>
        </is>
      </c>
      <c r="H13" s="47" t="n"/>
      <c r="I13" s="48" t="n"/>
    </row>
    <row r="14" ht="33.59999999999999" customHeight="1">
      <c r="A14" s="43" t="inlineStr">
        <is>
          <t>10.9</t>
        </is>
      </c>
      <c r="B14" s="44" t="inlineStr">
        <is>
          <t>Número de cuentas bancarias donde reciben el recaudo digital.</t>
        </is>
      </c>
      <c r="C14" s="45" t="n"/>
      <c r="D14" s="41" t="n"/>
      <c r="E14" s="41" t="n"/>
      <c r="F14" s="41" t="n"/>
      <c r="G14" s="46" t="inlineStr">
        <is>
          <t>B</t>
        </is>
      </c>
      <c r="H14" s="47" t="n"/>
      <c r="I14" s="48" t="n"/>
    </row>
    <row r="15" ht="33.59999999999999" customHeight="1">
      <c r="A15" s="43" t="inlineStr">
        <is>
          <t>10.10</t>
        </is>
      </c>
      <c r="B15" s="44" t="inlineStr">
        <is>
          <t>Nivel de detalle que necesitan: por transacción, por liquidación, por tienda o por canal.</t>
        </is>
      </c>
      <c r="C15" s="45" t="n"/>
      <c r="D15" s="41" t="n"/>
      <c r="E15" s="41" t="n"/>
      <c r="F15" s="41" t="n"/>
      <c r="G15" s="46" t="inlineStr">
        <is>
          <t>B</t>
        </is>
      </c>
      <c r="H15" s="47" t="n"/>
      <c r="I15" s="48" t="n"/>
    </row>
    <row r="16" ht="33.59999999999999" customHeight="1">
      <c r="A16" s="43" t="inlineStr">
        <is>
          <t>10.11</t>
        </is>
      </c>
      <c r="B16" s="44" t="inlineStr">
        <is>
          <t>Formato de archivo que requiere su sistema contable para cargar el recaudo.</t>
        </is>
      </c>
      <c r="C16" s="45" t="n"/>
      <c r="D16" s="41" t="n"/>
      <c r="E16" s="41" t="n"/>
      <c r="F16" s="41" t="n"/>
      <c r="G16" s="46" t="inlineStr">
        <is>
          <t>B</t>
        </is>
      </c>
      <c r="H16" s="47" t="n"/>
      <c r="I16" s="48" t="n"/>
    </row>
    <row r="17" ht="47.4" customHeight="1">
      <c r="A17" s="43" t="inlineStr">
        <is>
          <t>10.12</t>
        </is>
      </c>
      <c r="B17" s="44" t="inlineStr">
        <is>
          <t>Documento de soporte: un ejemplo del reporte de liquidación de Mercado Pago que usan hoy. Puede ser de un solo día.</t>
        </is>
      </c>
      <c r="C17" s="45" t="n"/>
      <c r="D17" s="41" t="n"/>
      <c r="E17" s="41" t="n"/>
      <c r="F17" s="41" t="n"/>
      <c r="G17" s="46" t="inlineStr">
        <is>
          <t>B</t>
        </is>
      </c>
      <c r="H17" s="47" t="n"/>
      <c r="I17" s="48" t="n"/>
    </row>
    <row r="18" ht="61.2" customHeight="1">
      <c r="A18" s="43" t="inlineStr">
        <is>
          <t>10.13</t>
        </is>
      </c>
      <c r="B18" s="44" t="inlineStr">
        <is>
          <t>Horas al mes dedicadas a la conciliación de pagos digitales. Opcional: solo sirve para dimensionar el alcance y no entra a la sección de ahorros del business case.</t>
        </is>
      </c>
      <c r="C18" s="45" t="n"/>
      <c r="D18" s="41" t="n"/>
      <c r="E18" s="41" t="n"/>
      <c r="F18" s="41" t="n"/>
      <c r="G18" s="46" t="inlineStr">
        <is>
          <t>C</t>
        </is>
      </c>
      <c r="H18" s="47" t="n"/>
      <c r="I18" s="48" t="n"/>
    </row>
  </sheetData>
  <mergeCells count="31">
    <mergeCell ref="C17:F17"/>
    <mergeCell ref="C8:F8"/>
    <mergeCell ref="H10:I10"/>
    <mergeCell ref="C7:F7"/>
    <mergeCell ref="H9:I9"/>
    <mergeCell ref="C13:F13"/>
    <mergeCell ref="C18:F18"/>
    <mergeCell ref="A2:I2"/>
    <mergeCell ref="H6:I6"/>
    <mergeCell ref="C6:F6"/>
    <mergeCell ref="C15:F15"/>
    <mergeCell ref="C5:F5"/>
    <mergeCell ref="A4:I4"/>
    <mergeCell ref="C14:F14"/>
    <mergeCell ref="H17:I17"/>
    <mergeCell ref="H11:I11"/>
    <mergeCell ref="H16:I16"/>
    <mergeCell ref="H7:I7"/>
    <mergeCell ref="C16:F16"/>
    <mergeCell ref="C10:F10"/>
    <mergeCell ref="H13:I13"/>
    <mergeCell ref="H14:I14"/>
    <mergeCell ref="C9:F9"/>
    <mergeCell ref="H12:I12"/>
    <mergeCell ref="C12:F12"/>
    <mergeCell ref="H15:I15"/>
    <mergeCell ref="H18:I18"/>
    <mergeCell ref="A1:I1"/>
    <mergeCell ref="H5:I5"/>
    <mergeCell ref="C11:F11"/>
    <mergeCell ref="H8:I8"/>
  </mergeCells>
  <pageMargins left="0.75" right="0.75" top="1" bottom="1" header="0.5" footer="0.5"/>
  <pageSetup orientation="landscape" fitToHeight="0" fitToWidth="1"/>
</worksheet>
</file>

<file path=xl/worksheets/sheet13.xml><?xml version="1.0" encoding="utf-8"?>
<worksheet xmlns="http://schemas.openxmlformats.org/spreadsheetml/2006/main">
  <sheetPr>
    <tabColor rgb="003E4FE0"/>
    <outlinePr summaryBelow="1" summaryRight="1"/>
    <pageSetUpPr fitToPage="1"/>
  </sheetPr>
  <dimension ref="A1:I22"/>
  <sheetViews>
    <sheetView showGridLines="0" workbookViewId="0">
      <pane ySplit="2" topLeftCell="A3" activePane="bottomLeft" state="frozen"/>
      <selection pane="bottomLeft" activeCell="A1" sqref="A1"/>
    </sheetView>
  </sheetViews>
  <sheetFormatPr baseColWidth="8" defaultRowHeight="15"/>
  <cols>
    <col width="6" customWidth="1" min="1" max="1"/>
    <col width="44" customWidth="1" min="2" max="2"/>
    <col width="15" customWidth="1" min="3" max="3"/>
    <col width="15" customWidth="1" min="4" max="4"/>
    <col width="15" customWidth="1" min="5" max="5"/>
    <col width="15" customWidth="1" min="6" max="6"/>
    <col width="15" customWidth="1" min="7" max="7"/>
    <col width="15" customWidth="1" min="8" max="8"/>
    <col width="36" customWidth="1" min="9" max="9"/>
  </cols>
  <sheetData>
    <row r="1" ht="34" customHeight="1">
      <c r="A1" s="12" t="inlineStr">
        <is>
          <t>11. Checkout y tecnología</t>
        </is>
      </c>
      <c r="B1" s="2" t="n"/>
      <c r="C1" s="2" t="n"/>
      <c r="D1" s="2" t="n"/>
      <c r="E1" s="2" t="n"/>
      <c r="F1" s="2" t="n"/>
      <c r="G1" s="2" t="n"/>
      <c r="H1" s="2" t="n"/>
      <c r="I1" s="2" t="n"/>
    </row>
    <row r="2" ht="24" customHeight="1">
      <c r="A2" s="24" t="inlineStr">
        <is>
          <t>Embudo: promedio mensual de los últimos 3 meses.</t>
        </is>
      </c>
      <c r="B2" s="4" t="n"/>
      <c r="C2" s="4" t="n"/>
      <c r="D2" s="4" t="n"/>
      <c r="E2" s="4" t="n"/>
      <c r="F2" s="4" t="n"/>
      <c r="G2" s="4" t="n"/>
      <c r="H2" s="4" t="n"/>
      <c r="I2" s="4" t="n"/>
    </row>
    <row r="4" ht="24" customHeight="1">
      <c r="A4" s="7" t="inlineStr">
        <is>
          <t>11.1  Embudo de checkout</t>
        </is>
      </c>
      <c r="B4" s="4" t="n"/>
      <c r="C4" s="4" t="n"/>
      <c r="D4" s="4" t="n"/>
      <c r="E4" s="4" t="n"/>
      <c r="F4" s="4" t="n"/>
      <c r="G4" s="4" t="n"/>
      <c r="H4" s="4" t="n"/>
      <c r="I4" s="4" t="n"/>
    </row>
    <row r="5" ht="18.42" customHeight="1">
      <c r="A5" s="25" t="inlineStr">
        <is>
          <t>Prioridad B. Área sugerida: Ecommerce. Lo usamos para: nuevos medios de pago: dónde se pierde el cliente antes de pagar.</t>
        </is>
      </c>
    </row>
    <row r="6" ht="47.4" customHeight="1">
      <c r="B6" s="15" t="inlineStr">
        <is>
          <t>Etapa</t>
        </is>
      </c>
      <c r="C6" s="15" t="inlineStr">
        <is>
          <t>Sitio web: sesiones (#)</t>
        </is>
      </c>
      <c r="D6" s="15" t="inlineStr">
        <is>
          <t>App: sesiones (#)</t>
        </is>
      </c>
      <c r="E6" s="15" t="inlineStr">
        <is>
          <t>Sitio web: paso desde la etapa anterior</t>
        </is>
      </c>
      <c r="F6" s="15" t="inlineStr">
        <is>
          <t>App: paso desde la etapa anterior</t>
        </is>
      </c>
      <c r="G6" s="15" t="inlineStr">
        <is>
          <t>Comentarios</t>
        </is>
      </c>
      <c r="H6" s="39" t="n"/>
      <c r="I6" s="39" t="n"/>
    </row>
    <row r="7" ht="19.8" customHeight="1">
      <c r="A7" s="29" t="inlineStr">
        <is>
          <t>Ej.</t>
        </is>
      </c>
      <c r="B7" s="30" t="inlineStr">
        <is>
          <t>Inicio del checkout</t>
        </is>
      </c>
      <c r="C7" s="31" t="n">
        <v>10000</v>
      </c>
      <c r="D7" s="31" t="n">
        <v>8000</v>
      </c>
      <c r="E7" s="32" t="n">
        <v>0.5</v>
      </c>
      <c r="F7" s="32" t="n">
        <v>0.5</v>
      </c>
      <c r="G7" s="30" t="inlineStr">
        <is>
          <t>Texto libre</t>
        </is>
      </c>
      <c r="H7" s="40" t="n"/>
      <c r="I7" s="40" t="n"/>
    </row>
    <row r="8" ht="19.8" customHeight="1">
      <c r="B8" s="18" t="inlineStr">
        <is>
          <t>Carrito con productos</t>
        </is>
      </c>
      <c r="C8" s="33" t="n"/>
      <c r="D8" s="33" t="n"/>
      <c r="E8" s="34" t="n"/>
      <c r="F8" s="34" t="n"/>
      <c r="G8" s="23" t="n"/>
      <c r="H8" s="41" t="n"/>
      <c r="I8" s="41" t="n"/>
    </row>
    <row r="9" ht="19.8" customHeight="1">
      <c r="B9" s="18" t="inlineStr">
        <is>
          <t>Inicio del checkout</t>
        </is>
      </c>
      <c r="C9" s="33" t="n"/>
      <c r="D9" s="33" t="n"/>
      <c r="E9" s="34">
        <f>IF(AND(ISNUMBER(C9),ISNUMBER(C8)),IF(C8&gt;0,C9/C8,""),"")</f>
        <v/>
      </c>
      <c r="F9" s="34">
        <f>IF(AND(ISNUMBER(D9),ISNUMBER(D8)),IF(D8&gt;0,D9/D8,""),"")</f>
        <v/>
      </c>
      <c r="G9" s="23" t="n"/>
      <c r="H9" s="41" t="n"/>
      <c r="I9" s="41" t="n"/>
    </row>
    <row r="10" ht="19.8" customHeight="1">
      <c r="B10" s="18" t="inlineStr">
        <is>
          <t>Selección del medio de pago</t>
        </is>
      </c>
      <c r="C10" s="33" t="n"/>
      <c r="D10" s="33" t="n"/>
      <c r="E10" s="34">
        <f>IF(AND(ISNUMBER(C10),ISNUMBER(C9)),IF(C9&gt;0,C10/C9,""),"")</f>
        <v/>
      </c>
      <c r="F10" s="34">
        <f>IF(AND(ISNUMBER(D10),ISNUMBER(D9)),IF(D9&gt;0,D10/D9,""),"")</f>
        <v/>
      </c>
      <c r="G10" s="23" t="n"/>
      <c r="H10" s="41" t="n"/>
      <c r="I10" s="41" t="n"/>
    </row>
    <row r="11" ht="19.8" customHeight="1">
      <c r="B11" s="18" t="inlineStr">
        <is>
          <t>Pago enviado</t>
        </is>
      </c>
      <c r="C11" s="33" t="n"/>
      <c r="D11" s="33" t="n"/>
      <c r="E11" s="34">
        <f>IF(AND(ISNUMBER(C11),ISNUMBER(C10)),IF(C10&gt;0,C11/C10,""),"")</f>
        <v/>
      </c>
      <c r="F11" s="34">
        <f>IF(AND(ISNUMBER(D11),ISNUMBER(D10)),IF(D10&gt;0,D11/D10,""),"")</f>
        <v/>
      </c>
      <c r="G11" s="23" t="n"/>
      <c r="H11" s="41" t="n"/>
      <c r="I11" s="41" t="n"/>
    </row>
    <row r="12" ht="19.8" customHeight="1">
      <c r="B12" s="18" t="inlineStr">
        <is>
          <t>Pago aprobado</t>
        </is>
      </c>
      <c r="C12" s="33" t="n"/>
      <c r="D12" s="33" t="n"/>
      <c r="E12" s="34">
        <f>IF(AND(ISNUMBER(C12),ISNUMBER(C11)),IF(C11&gt;0,C12/C11,""),"")</f>
        <v/>
      </c>
      <c r="F12" s="34">
        <f>IF(AND(ISNUMBER(D12),ISNUMBER(D11)),IF(D11&gt;0,D12/D11,""),"")</f>
        <v/>
      </c>
      <c r="G12" s="23" t="n"/>
      <c r="H12" s="41" t="n"/>
      <c r="I12" s="41" t="n"/>
    </row>
    <row r="14" ht="24" customHeight="1">
      <c r="A14" s="7" t="inlineStr">
        <is>
          <t>Preguntas sobre checkout y tecnología</t>
        </is>
      </c>
      <c r="B14" s="4" t="n"/>
      <c r="C14" s="4" t="n"/>
      <c r="D14" s="4" t="n"/>
      <c r="E14" s="4" t="n"/>
      <c r="F14" s="4" t="n"/>
      <c r="G14" s="4" t="n"/>
      <c r="H14" s="4" t="n"/>
      <c r="I14" s="4" t="n"/>
    </row>
    <row r="15" ht="20" customHeight="1">
      <c r="A15" s="15" t="inlineStr">
        <is>
          <t>ID</t>
        </is>
      </c>
      <c r="B15" s="15" t="inlineStr">
        <is>
          <t>Pregunta</t>
        </is>
      </c>
      <c r="C15" s="15" t="inlineStr">
        <is>
          <t>Respuesta de Cruz Verde</t>
        </is>
      </c>
      <c r="D15" s="39" t="n"/>
      <c r="E15" s="39" t="n"/>
      <c r="F15" s="39" t="n"/>
      <c r="G15" s="15" t="inlineStr">
        <is>
          <t>Prioridad</t>
        </is>
      </c>
      <c r="H15" s="15" t="inlineStr">
        <is>
          <t>Dato que tenemos hoy, a confirmar</t>
        </is>
      </c>
      <c r="I15" s="39" t="n"/>
    </row>
    <row r="16" ht="33.59999999999999" customHeight="1">
      <c r="A16" s="43" t="inlineStr">
        <is>
          <t>11.2</t>
        </is>
      </c>
      <c r="B16" s="44" t="inlineStr">
        <is>
          <t>Plataforma de ecommerce: desarrollo propio u otra (indicar cuál).</t>
        </is>
      </c>
      <c r="C16" s="45" t="n"/>
      <c r="D16" s="41" t="n"/>
      <c r="E16" s="41" t="n"/>
      <c r="F16" s="41" t="n"/>
      <c r="G16" s="46" t="inlineStr">
        <is>
          <t>A</t>
        </is>
      </c>
      <c r="H16" s="47" t="n"/>
      <c r="I16" s="48" t="n"/>
    </row>
    <row r="17" ht="33.59999999999999" customHeight="1">
      <c r="A17" s="43" t="inlineStr">
        <is>
          <t>11.3</t>
        </is>
      </c>
      <c r="B17" s="44" t="inlineStr">
        <is>
          <t>Tipo de integración con Mercado Pago: checkout con redirección, checkout integrado por API o links de pago.</t>
        </is>
      </c>
      <c r="C17" s="45" t="n"/>
      <c r="D17" s="41" t="n"/>
      <c r="E17" s="41" t="n"/>
      <c r="F17" s="41" t="n"/>
      <c r="G17" s="46" t="inlineStr">
        <is>
          <t>A</t>
        </is>
      </c>
      <c r="H17" s="47" t="inlineStr">
        <is>
          <t>Mercado Pago único, incluidos links de pago (llamada del 21 de mayo).</t>
        </is>
      </c>
      <c r="I17" s="48" t="n"/>
    </row>
    <row r="18" ht="33.59999999999999" customHeight="1">
      <c r="A18" s="43" t="inlineStr">
        <is>
          <t>11.4</t>
        </is>
      </c>
      <c r="B18" s="44" t="inlineStr">
        <is>
          <t>¿El cliente sale del sitio o de la app para completar el pago?</t>
        </is>
      </c>
      <c r="C18" s="45" t="n"/>
      <c r="D18" s="41" t="n"/>
      <c r="E18" s="41" t="n"/>
      <c r="F18" s="41" t="n"/>
      <c r="G18" s="46" t="inlineStr">
        <is>
          <t>B</t>
        </is>
      </c>
      <c r="H18" s="47" t="n"/>
      <c r="I18" s="48" t="n"/>
    </row>
    <row r="19" ht="33.59999999999999" customHeight="1">
      <c r="A19" s="43" t="inlineStr">
        <is>
          <t>11.5</t>
        </is>
      </c>
      <c r="B19" s="44" t="inlineStr">
        <is>
          <t>Participación de las ventas por dispositivo: iOS, Android y computador (%).</t>
        </is>
      </c>
      <c r="C19" s="45" t="n"/>
      <c r="D19" s="41" t="n"/>
      <c r="E19" s="41" t="n"/>
      <c r="F19" s="41" t="n"/>
      <c r="G19" s="46" t="inlineStr">
        <is>
          <t>A</t>
        </is>
      </c>
      <c r="H19" s="47" t="n"/>
      <c r="I19" s="48" t="n"/>
    </row>
    <row r="20" ht="33.59999999999999" customHeight="1">
      <c r="A20" s="43" t="inlineStr">
        <is>
          <t>11.6</t>
        </is>
      </c>
      <c r="B20" s="44" t="inlineStr">
        <is>
          <t>¿Permiten guardar tarjetas? Indicar cuántas tarjetas guardadas activas tienen.</t>
        </is>
      </c>
      <c r="C20" s="45" t="n"/>
      <c r="D20" s="41" t="n"/>
      <c r="E20" s="41" t="n"/>
      <c r="F20" s="41" t="n"/>
      <c r="G20" s="46" t="inlineStr">
        <is>
          <t>B</t>
        </is>
      </c>
      <c r="H20" s="47" t="n"/>
      <c r="I20" s="48" t="n"/>
    </row>
    <row r="21" ht="33.59999999999999" customHeight="1">
      <c r="A21" s="43" t="inlineStr">
        <is>
          <t>11.7</t>
        </is>
      </c>
      <c r="B21" s="44" t="inlineStr">
        <is>
          <t>Sistemas que consumen la información de pagos: sistema de pedidos, ERP, facturación electrónica.</t>
        </is>
      </c>
      <c r="C21" s="45" t="n"/>
      <c r="D21" s="41" t="n"/>
      <c r="E21" s="41" t="n"/>
      <c r="F21" s="41" t="n"/>
      <c r="G21" s="46" t="inlineStr">
        <is>
          <t>B</t>
        </is>
      </c>
      <c r="H21" s="47" t="n"/>
      <c r="I21" s="48" t="n"/>
    </row>
    <row r="22" ht="33.59999999999999" customHeight="1">
      <c r="A22" s="43" t="inlineStr">
        <is>
          <t>11.8</t>
        </is>
      </c>
      <c r="B22" s="44" t="inlineStr">
        <is>
          <t>Restricciones o ventanas de congelamiento de TI en los próximos 6 meses.</t>
        </is>
      </c>
      <c r="C22" s="45" t="n"/>
      <c r="D22" s="41" t="n"/>
      <c r="E22" s="41" t="n"/>
      <c r="F22" s="41" t="n"/>
      <c r="G22" s="46" t="inlineStr">
        <is>
          <t>B</t>
        </is>
      </c>
      <c r="H22" s="47" t="n"/>
      <c r="I22" s="48" t="n"/>
    </row>
  </sheetData>
  <mergeCells count="28">
    <mergeCell ref="G10:I10"/>
    <mergeCell ref="C17:F17"/>
    <mergeCell ref="H20:I20"/>
    <mergeCell ref="G6:I6"/>
    <mergeCell ref="C19:F19"/>
    <mergeCell ref="C18:F18"/>
    <mergeCell ref="H21:I21"/>
    <mergeCell ref="A2:I2"/>
    <mergeCell ref="A5:I5"/>
    <mergeCell ref="A14:I14"/>
    <mergeCell ref="C15:F15"/>
    <mergeCell ref="A4:I4"/>
    <mergeCell ref="H17:I17"/>
    <mergeCell ref="H16:I16"/>
    <mergeCell ref="C20:F20"/>
    <mergeCell ref="G9:I9"/>
    <mergeCell ref="C16:F16"/>
    <mergeCell ref="H19:I19"/>
    <mergeCell ref="G12:I12"/>
    <mergeCell ref="H22:I22"/>
    <mergeCell ref="G11:I11"/>
    <mergeCell ref="C22:F22"/>
    <mergeCell ref="H15:I15"/>
    <mergeCell ref="H18:I18"/>
    <mergeCell ref="A1:I1"/>
    <mergeCell ref="G8:I8"/>
    <mergeCell ref="C21:F21"/>
    <mergeCell ref="G7:I7"/>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3E4FE0"/>
    <outlinePr summaryBelow="1" summaryRight="1"/>
    <pageSetUpPr fitToPage="1"/>
  </sheetPr>
  <dimension ref="A1:I28"/>
  <sheetViews>
    <sheetView showGridLines="0" workbookViewId="0">
      <pane ySplit="2" topLeftCell="A3" activePane="bottomLeft" state="frozen"/>
      <selection pane="bottomLeft" activeCell="A1" sqref="A1"/>
    </sheetView>
  </sheetViews>
  <sheetFormatPr baseColWidth="8" defaultRowHeight="15"/>
  <cols>
    <col width="6" customWidth="1" min="1" max="1"/>
    <col width="44" customWidth="1" min="2" max="2"/>
    <col width="15" customWidth="1" min="3" max="3"/>
    <col width="15" customWidth="1" min="4" max="4"/>
    <col width="15" customWidth="1" min="5" max="5"/>
    <col width="15" customWidth="1" min="6" max="6"/>
    <col width="15" customWidth="1" min="7" max="7"/>
    <col width="15" customWidth="1" min="8" max="8"/>
    <col width="36" customWidth="1" min="9" max="9"/>
  </cols>
  <sheetData>
    <row r="1" ht="34" customHeight="1">
      <c r="A1" s="12" t="inlineStr">
        <is>
          <t>12. Nuevos medios de pago y planes</t>
        </is>
      </c>
      <c r="B1" s="2" t="n"/>
      <c r="C1" s="2" t="n"/>
      <c r="D1" s="2" t="n"/>
      <c r="E1" s="2" t="n"/>
      <c r="F1" s="2" t="n"/>
      <c r="G1" s="2" t="n"/>
      <c r="H1" s="2" t="n"/>
      <c r="I1" s="2" t="n"/>
    </row>
    <row r="2" ht="24" customHeight="1">
      <c r="A2" s="24" t="inlineStr">
        <is>
          <t>Prioridades de Cruz Verde y evidencia de demanda.</t>
        </is>
      </c>
      <c r="B2" s="4" t="n"/>
      <c r="C2" s="4" t="n"/>
      <c r="D2" s="4" t="n"/>
      <c r="E2" s="4" t="n"/>
      <c r="F2" s="4" t="n"/>
      <c r="G2" s="4" t="n"/>
      <c r="H2" s="4" t="n"/>
      <c r="I2" s="4" t="n"/>
    </row>
    <row r="4" ht="24" customHeight="1">
      <c r="A4" s="7" t="inlineStr">
        <is>
          <t>12.1  Medios de pago de interés</t>
        </is>
      </c>
      <c r="B4" s="4" t="n"/>
      <c r="C4" s="4" t="n"/>
      <c r="D4" s="4" t="n"/>
      <c r="E4" s="4" t="n"/>
      <c r="F4" s="4" t="n"/>
      <c r="G4" s="4" t="n"/>
      <c r="H4" s="4" t="n"/>
      <c r="I4" s="4" t="n"/>
    </row>
    <row r="5" ht="18.42" customHeight="1">
      <c r="A5" s="25" t="inlineStr">
        <is>
          <t>Prioridad A. Área sugerida: Ecommerce. Lo usamos para: nuevos medios de pago: el volumen adicional de cada uno.</t>
        </is>
      </c>
    </row>
    <row r="6" ht="18.42" customHeight="1">
      <c r="A6" s="25" t="inlineStr">
        <is>
          <t>Dato que tenemos hoy, a confirmar: interés en Sistecrédito y en gift cards o créditos Cruz Verde (reunión del 25 de septiembre).</t>
        </is>
      </c>
    </row>
    <row r="7" ht="18.42" customHeight="1">
      <c r="A7" s="25" t="inlineStr">
        <is>
          <t>Las dos filas en blanco son para otros medios de pago que tengan en el radar.</t>
        </is>
      </c>
    </row>
    <row r="8" ht="47.4" customHeight="1">
      <c r="B8" s="15" t="inlineStr">
        <is>
          <t>Medio de pago</t>
        </is>
      </c>
      <c r="C8" s="15" t="inlineStr">
        <is>
          <t>Prioridad para Cruz Verde</t>
        </is>
      </c>
      <c r="D8" s="15" t="inlineStr">
        <is>
          <t>¿Lo aceptan hoy en tiendas físicas?</t>
        </is>
      </c>
      <c r="E8" s="15" t="inlineStr">
        <is>
          <t>Participación en ventas de tienda física (%)</t>
        </is>
      </c>
      <c r="F8" s="15" t="inlineStr">
        <is>
          <t>Evidencia de demanda en el canal digital</t>
        </is>
      </c>
      <c r="G8" s="39" t="n"/>
      <c r="H8" s="15" t="inlineStr">
        <is>
          <t>Proveedor con el que lo han conversado</t>
        </is>
      </c>
      <c r="I8" s="15" t="inlineStr">
        <is>
          <t>Fecha deseada de salida</t>
        </is>
      </c>
    </row>
    <row r="9" ht="19.8" customHeight="1">
      <c r="A9" s="29" t="inlineStr">
        <is>
          <t>Ej.</t>
        </is>
      </c>
      <c r="B9" s="30" t="inlineStr">
        <is>
          <t>Nequi</t>
        </is>
      </c>
      <c r="C9" s="30" t="inlineStr">
        <is>
          <t>1 Alta</t>
        </is>
      </c>
      <c r="D9" s="30" t="inlineStr">
        <is>
          <t>Sí</t>
        </is>
      </c>
      <c r="E9" s="32" t="n">
        <v>0.08</v>
      </c>
      <c r="F9" s="30" t="inlineStr">
        <is>
          <t>Solicitudes en servicio al cliente</t>
        </is>
      </c>
      <c r="G9" s="40" t="n"/>
      <c r="H9" s="30" t="inlineStr">
        <is>
          <t>Por definir</t>
        </is>
      </c>
      <c r="I9" s="30" t="inlineStr">
        <is>
          <t>Primer trimestre de 2027</t>
        </is>
      </c>
    </row>
    <row r="10" ht="19.8" customHeight="1">
      <c r="B10" s="18" t="inlineStr">
        <is>
          <t>Nequi</t>
        </is>
      </c>
      <c r="C10" s="23" t="n"/>
      <c r="D10" s="23" t="n"/>
      <c r="E10" s="53" t="n"/>
      <c r="F10" s="23" t="n"/>
      <c r="G10" s="41" t="n"/>
      <c r="H10" s="23" t="n"/>
      <c r="I10" s="23" t="n"/>
    </row>
    <row r="11" ht="19.8" customHeight="1">
      <c r="B11" s="18" t="inlineStr">
        <is>
          <t>Daviplata</t>
        </is>
      </c>
      <c r="C11" s="23" t="n"/>
      <c r="D11" s="23" t="n"/>
      <c r="E11" s="53" t="n"/>
      <c r="F11" s="23" t="n"/>
      <c r="G11" s="41" t="n"/>
      <c r="H11" s="23" t="n"/>
      <c r="I11" s="23" t="n"/>
    </row>
    <row r="12" ht="19.8" customHeight="1">
      <c r="B12" s="18" t="inlineStr">
        <is>
          <t>Bre-B</t>
        </is>
      </c>
      <c r="C12" s="23" t="n"/>
      <c r="D12" s="23" t="n"/>
      <c r="E12" s="53" t="n"/>
      <c r="F12" s="23" t="n"/>
      <c r="G12" s="41" t="n"/>
      <c r="H12" s="23" t="n"/>
      <c r="I12" s="23" t="n"/>
    </row>
    <row r="13" ht="19.8" customHeight="1">
      <c r="B13" s="18" t="inlineStr">
        <is>
          <t>Apple Pay</t>
        </is>
      </c>
      <c r="C13" s="23" t="n"/>
      <c r="D13" s="23" t="n"/>
      <c r="E13" s="53" t="n"/>
      <c r="F13" s="23" t="n"/>
      <c r="G13" s="41" t="n"/>
      <c r="H13" s="23" t="n"/>
      <c r="I13" s="23" t="n"/>
    </row>
    <row r="14" ht="19.8" customHeight="1">
      <c r="B14" s="18" t="inlineStr">
        <is>
          <t>Google Pay</t>
        </is>
      </c>
      <c r="C14" s="23" t="n"/>
      <c r="D14" s="23" t="n"/>
      <c r="E14" s="53" t="n"/>
      <c r="F14" s="23" t="n"/>
      <c r="G14" s="41" t="n"/>
      <c r="H14" s="23" t="n"/>
      <c r="I14" s="23" t="n"/>
    </row>
    <row r="15" ht="19.8" customHeight="1">
      <c r="B15" s="18" t="inlineStr">
        <is>
          <t>Addi</t>
        </is>
      </c>
      <c r="C15" s="23" t="n"/>
      <c r="D15" s="23" t="n"/>
      <c r="E15" s="53" t="n"/>
      <c r="F15" s="23" t="n"/>
      <c r="G15" s="41" t="n"/>
      <c r="H15" s="23" t="n"/>
      <c r="I15" s="23" t="n"/>
    </row>
    <row r="16" ht="19.8" customHeight="1">
      <c r="B16" s="18" t="inlineStr">
        <is>
          <t>Sistecrédito</t>
        </is>
      </c>
      <c r="C16" s="23" t="n"/>
      <c r="D16" s="23" t="n"/>
      <c r="E16" s="53" t="n"/>
      <c r="F16" s="23" t="n"/>
      <c r="G16" s="41" t="n"/>
      <c r="H16" s="23" t="n"/>
      <c r="I16" s="23" t="n"/>
    </row>
    <row r="17" ht="19.8" customHeight="1">
      <c r="B17" s="18" t="inlineStr">
        <is>
          <t>Gift cards o créditos Cruz Verde</t>
        </is>
      </c>
      <c r="C17" s="23" t="n"/>
      <c r="D17" s="23" t="n"/>
      <c r="E17" s="53" t="n"/>
      <c r="F17" s="23" t="n"/>
      <c r="G17" s="41" t="n"/>
      <c r="H17" s="23" t="n"/>
      <c r="I17" s="23" t="n"/>
    </row>
    <row r="18" ht="18" customHeight="1">
      <c r="B18" s="23" t="n"/>
      <c r="C18" s="23" t="n"/>
      <c r="D18" s="23" t="n"/>
      <c r="E18" s="53" t="n"/>
      <c r="F18" s="23" t="n"/>
      <c r="G18" s="41" t="n"/>
      <c r="H18" s="23" t="n"/>
      <c r="I18" s="23" t="n"/>
    </row>
    <row r="19" ht="18" customHeight="1">
      <c r="B19" s="23" t="n"/>
      <c r="C19" s="23" t="n"/>
      <c r="D19" s="23" t="n"/>
      <c r="E19" s="53" t="n"/>
      <c r="F19" s="23" t="n"/>
      <c r="G19" s="41" t="n"/>
      <c r="H19" s="23" t="n"/>
      <c r="I19" s="23" t="n"/>
    </row>
    <row r="21" ht="24" customHeight="1">
      <c r="A21" s="7" t="inlineStr">
        <is>
          <t>Preguntas sobre demanda y planes</t>
        </is>
      </c>
      <c r="B21" s="4" t="n"/>
      <c r="C21" s="4" t="n"/>
      <c r="D21" s="4" t="n"/>
      <c r="E21" s="4" t="n"/>
      <c r="F21" s="4" t="n"/>
      <c r="G21" s="4" t="n"/>
      <c r="H21" s="4" t="n"/>
      <c r="I21" s="4" t="n"/>
    </row>
    <row r="22" ht="20" customHeight="1">
      <c r="A22" s="15" t="inlineStr">
        <is>
          <t>ID</t>
        </is>
      </c>
      <c r="B22" s="15" t="inlineStr">
        <is>
          <t>Pregunta</t>
        </is>
      </c>
      <c r="C22" s="15" t="inlineStr">
        <is>
          <t>Respuesta de Cruz Verde</t>
        </is>
      </c>
      <c r="D22" s="39" t="n"/>
      <c r="E22" s="39" t="n"/>
      <c r="F22" s="39" t="n"/>
      <c r="G22" s="15" t="inlineStr">
        <is>
          <t>Prioridad</t>
        </is>
      </c>
      <c r="H22" s="15" t="inlineStr">
        <is>
          <t>Dato que tenemos hoy, a confirmar</t>
        </is>
      </c>
      <c r="I22" s="39" t="n"/>
    </row>
    <row r="23" ht="47.4" customHeight="1">
      <c r="A23" s="43" t="inlineStr">
        <is>
          <t>12.2</t>
        </is>
      </c>
      <c r="B23" s="44" t="inlineStr">
        <is>
          <t>Mix de medios de pago en tiendas físicas: efectivo, débito, crédito, billeteras y otros (%). Nos sirve como referencia de la preferencia del cliente.</t>
        </is>
      </c>
      <c r="C23" s="45" t="n"/>
      <c r="D23" s="41" t="n"/>
      <c r="E23" s="41" t="n"/>
      <c r="F23" s="41" t="n"/>
      <c r="G23" s="46" t="inlineStr">
        <is>
          <t>B</t>
        </is>
      </c>
      <c r="H23" s="47" t="n"/>
      <c r="I23" s="48" t="n"/>
    </row>
    <row r="24" ht="33.59999999999999" customHeight="1">
      <c r="A24" s="43" t="inlineStr">
        <is>
          <t>12.3</t>
        </is>
      </c>
      <c r="B24" s="44" t="inlineStr">
        <is>
          <t>Solicitudes de clientes por medios de pago que hoy no ofrecen: encuestas o casos de servicio al cliente.</t>
        </is>
      </c>
      <c r="C24" s="45" t="n"/>
      <c r="D24" s="41" t="n"/>
      <c r="E24" s="41" t="n"/>
      <c r="F24" s="41" t="n"/>
      <c r="G24" s="46" t="inlineStr">
        <is>
          <t>B</t>
        </is>
      </c>
      <c r="H24" s="47" t="n"/>
      <c r="I24" s="48" t="n"/>
    </row>
    <row r="25" ht="33.59999999999999" customHeight="1">
      <c r="A25" s="43" t="inlineStr">
        <is>
          <t>12.4</t>
        </is>
      </c>
      <c r="B25" s="44" t="inlineStr">
        <is>
          <t>Estado de las conversaciones con PayU, Redeban, Movii y Kushki: propuesta recibida, contrato o integración.</t>
        </is>
      </c>
      <c r="C25" s="45" t="n"/>
      <c r="D25" s="41" t="n"/>
      <c r="E25" s="41" t="n"/>
      <c r="F25" s="41" t="n"/>
      <c r="G25" s="46" t="inlineStr">
        <is>
          <t>A</t>
        </is>
      </c>
      <c r="H25" s="47" t="inlineStr">
        <is>
          <t>Proveedores conversados: PayU, Redeban, Movii y Kushki (reunión del 25 de septiembre).</t>
        </is>
      </c>
      <c r="I25" s="48" t="n"/>
    </row>
    <row r="26" ht="33.59999999999999" customHeight="1">
      <c r="A26" s="43" t="inlineStr">
        <is>
          <t>12.5</t>
        </is>
      </c>
      <c r="B26" s="44" t="inlineStr">
        <is>
          <t>Porcentaje estimado de clientes del canal digital que no tienen tarjeta de crédito.</t>
        </is>
      </c>
      <c r="C26" s="45" t="n"/>
      <c r="D26" s="41" t="n"/>
      <c r="E26" s="41" t="n"/>
      <c r="F26" s="41" t="n"/>
      <c r="G26" s="46" t="inlineStr">
        <is>
          <t>C</t>
        </is>
      </c>
      <c r="H26" s="47" t="n"/>
      <c r="I26" s="48" t="n"/>
    </row>
    <row r="27" ht="33.59999999999999" customHeight="1">
      <c r="A27" s="43" t="inlineStr">
        <is>
          <t>12.6</t>
        </is>
      </c>
      <c r="B27" s="44" t="inlineStr">
        <is>
          <t>Clientes con compras recurrentes del mismo producto: cuántos son y con qué frecuencia compran.</t>
        </is>
      </c>
      <c r="C27" s="45" t="n"/>
      <c r="D27" s="41" t="n"/>
      <c r="E27" s="41" t="n"/>
      <c r="F27" s="41" t="n"/>
      <c r="G27" s="46" t="inlineStr">
        <is>
          <t>C</t>
        </is>
      </c>
      <c r="H27" s="47" t="inlineStr">
        <is>
          <t>Motor de suscripciones como interés a futuro (reunión del 25 de septiembre).</t>
        </is>
      </c>
      <c r="I27" s="48" t="n"/>
    </row>
    <row r="28" ht="33.59999999999999" customHeight="1">
      <c r="A28" s="43" t="inlineStr">
        <is>
          <t>12.7</t>
        </is>
      </c>
      <c r="B28" s="44" t="inlineStr">
        <is>
          <t>Otros proyectos de pagos previstos para 2027.</t>
        </is>
      </c>
      <c r="C28" s="45" t="n"/>
      <c r="D28" s="41" t="n"/>
      <c r="E28" s="41" t="n"/>
      <c r="F28" s="41" t="n"/>
      <c r="G28" s="46" t="inlineStr">
        <is>
          <t>C</t>
        </is>
      </c>
      <c r="H28" s="47" t="n"/>
      <c r="I28" s="48" t="n"/>
    </row>
  </sheetData>
  <mergeCells count="33">
    <mergeCell ref="A7:I7"/>
    <mergeCell ref="F11:G11"/>
    <mergeCell ref="C23:F23"/>
    <mergeCell ref="F10:G10"/>
    <mergeCell ref="F16:G16"/>
    <mergeCell ref="F19:G19"/>
    <mergeCell ref="A21:I21"/>
    <mergeCell ref="C28:F28"/>
    <mergeCell ref="H25:I25"/>
    <mergeCell ref="F12:G12"/>
    <mergeCell ref="A2:I2"/>
    <mergeCell ref="F15:G15"/>
    <mergeCell ref="A5:I5"/>
    <mergeCell ref="F18:G18"/>
    <mergeCell ref="C24:F24"/>
    <mergeCell ref="A4:I4"/>
    <mergeCell ref="F17:G17"/>
    <mergeCell ref="F8:G8"/>
    <mergeCell ref="C26:F26"/>
    <mergeCell ref="C25:F25"/>
    <mergeCell ref="F13:G13"/>
    <mergeCell ref="H22:I22"/>
    <mergeCell ref="H28:I28"/>
    <mergeCell ref="F9:G9"/>
    <mergeCell ref="H27:I27"/>
    <mergeCell ref="C22:F22"/>
    <mergeCell ref="H24:I24"/>
    <mergeCell ref="A1:I1"/>
    <mergeCell ref="H23:I23"/>
    <mergeCell ref="F14:G14"/>
    <mergeCell ref="A6:I6"/>
    <mergeCell ref="C27:F27"/>
    <mergeCell ref="H26:I26"/>
  </mergeCells>
  <dataValidations count="2">
    <dataValidation sqref="C10 C11 C12 C13 C14 C15 C16 C17 C18 C19" showDropDown="0" showInputMessage="0" showErrorMessage="0" allowBlank="1" error="Elegir una opción de la lista" type="list">
      <formula1>"1 Alta,2 Media,3 Baja,No interesa"</formula1>
    </dataValidation>
    <dataValidation sqref="D10 D11 D12 D13 D14 D15 D16 D17 D18 D19" showDropDown="0" showInputMessage="0" showErrorMessage="0" allowBlank="1" error="Elegir una opción de la lista" type="list">
      <formula1>"Sí,No"</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2026-09-29T16:51:21Z</dcterms:created>
  <dcterms:modified xsi:type="dcterms:W3CDTF">2026-09-29T16:51:21Z</dcterms:modified>
</cp:coreProperties>
</file>