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alculator" sheetId="2" state="visible" r:id="rId2"/>
    <sheet xmlns:r="http://schemas.openxmlformats.org/officeDocument/2006/relationships" name="Growth" sheetId="3" state="visible" r:id="rId3"/>
    <sheet xmlns:r="http://schemas.openxmlformats.org/officeDocument/2006/relationships" name="Vs competitor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$#,##0"/>
    <numFmt numFmtId="165" formatCode="$0.000"/>
    <numFmt numFmtId="166" formatCode="$0.0000"/>
  </numFmts>
  <fonts count="5">
    <font>
      <name val="Calibri"/>
      <family val="2"/>
      <color theme="1"/>
      <sz val="11"/>
      <scheme val="minor"/>
    </font>
    <font>
      <name val="Roboto"/>
      <b val="1"/>
      <color rgb="00FFFFFF"/>
      <sz val="10"/>
    </font>
    <font>
      <name val="Roboto"/>
      <b val="1"/>
      <sz val="10"/>
    </font>
    <font>
      <name val="Roboto"/>
      <sz val="10"/>
    </font>
    <font>
      <name val="Roboto"/>
      <i val="1"/>
      <sz val="9"/>
    </font>
  </fonts>
  <fills count="5">
    <fill>
      <patternFill/>
    </fill>
    <fill>
      <patternFill patternType="gray125"/>
    </fill>
    <fill>
      <patternFill patternType="solid">
        <fgColor rgb="0010284A"/>
      </patternFill>
    </fill>
    <fill>
      <patternFill patternType="solid">
        <fgColor rgb="00FFF2CC"/>
      </patternFill>
    </fill>
    <fill>
      <patternFill patternType="solid">
        <fgColor rgb="00E8EAF5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164" fontId="3" fillId="3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165" fontId="3" fillId="3" borderId="1" applyAlignment="1" pivotButton="0" quotePrefix="0" xfId="0">
      <alignment vertical="top" wrapText="1"/>
    </xf>
    <xf numFmtId="164" fontId="3" fillId="0" borderId="1" applyAlignment="1" pivotButton="0" quotePrefix="0" xfId="0">
      <alignment vertical="top" wrapText="1"/>
    </xf>
    <xf numFmtId="3" fontId="2" fillId="0" borderId="1" applyAlignment="1" pivotButton="0" quotePrefix="0" xfId="0">
      <alignment vertical="top" wrapText="1"/>
    </xf>
    <xf numFmtId="164" fontId="2" fillId="0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164" fontId="2" fillId="4" borderId="1" applyAlignment="1" pivotButton="0" quotePrefix="0" xfId="0">
      <alignment vertical="top" wrapText="1"/>
    </xf>
    <xf numFmtId="166" fontId="2" fillId="4" borderId="1" applyAlignment="1" pivotButton="0" quotePrefix="0" xfId="0">
      <alignment vertical="top" wrapText="1"/>
    </xf>
    <xf numFmtId="0" fontId="4" fillId="0" borderId="0" pivotButton="0" quotePrefix="0" xfId="0"/>
    <xf numFmtId="166" fontId="3" fillId="0" borderId="1" applyAlignment="1" pivotButton="0" quotePrefix="0" xfId="0">
      <alignment vertical="top" wrapText="1"/>
    </xf>
    <xf numFmtId="165" fontId="3" fillId="0" borderId="1" applyAlignment="1" pivotButton="0" quotePrefix="0" xfId="0">
      <alignment vertical="top" wrapText="1"/>
    </xf>
    <xf numFmtId="166" fontId="3" fillId="4" borderId="1" applyAlignment="1" pivotButton="0" quotePrefix="0" xfId="0">
      <alignment vertical="top" wrapText="1"/>
    </xf>
    <xf numFmtId="164" fontId="3" fillId="4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70" customWidth="1" min="2" max="2"/>
    <col width="60" customWidth="1" min="3" max="3"/>
  </cols>
  <sheetData>
    <row r="1" ht="30" customHeight="1">
      <c r="A1" s="1" t="inlineStr">
        <is>
          <t>Topic</t>
        </is>
      </c>
      <c r="B1" s="1" t="inlineStr">
        <is>
          <t>What we are proposing</t>
        </is>
      </c>
      <c r="C1" s="1" t="inlineStr">
        <is>
          <t>Why / how to say it</t>
        </is>
      </c>
    </row>
    <row r="2">
      <c r="A2" s="2" t="inlineStr">
        <is>
          <t>Client</t>
        </is>
      </c>
      <c r="B2" s="3" t="inlineStr">
        <is>
          <t>Acebet: US sweepstakes / social casino operator, Cyprus entity. Contact: Boris (co-founder).</t>
        </is>
      </c>
      <c r="C2" s="3" t="inlineStr">
        <is>
          <t>Referred by Coinflow. First call 27-Oct-2026.</t>
        </is>
      </c>
    </row>
    <row r="3">
      <c r="A3" s="2" t="inlineStr">
        <is>
          <t>What they want</t>
        </is>
      </c>
      <c r="B3" s="3" t="inlineStr">
        <is>
          <t>Split volume across several acquirers by fixed percentages, cascade declines, add acquirers fast.</t>
        </is>
      </c>
      <c r="C3" s="3" t="inlineStr">
        <is>
          <t>Leverage on price and redundancy. Approval on Breeze is already in the 90s, so this is not an uplift sale.</t>
        </is>
      </c>
    </row>
    <row r="4">
      <c r="A4" s="2" t="inlineStr">
        <is>
          <t>Volume basis</t>
        </is>
      </c>
      <c r="B4" s="3" t="inlineStr">
        <is>
          <t>About 680,000 successful transactions a month, average ticket about $33.</t>
        </is>
      </c>
      <c r="C4" s="3" t="inlineStr">
        <is>
          <t>Real last 30 days: 678,498 deposits, $22.77M, all on Breeze (internal data; never cite it to the client). Boris said ~700K and ~$25M.</t>
        </is>
      </c>
    </row>
    <row r="5">
      <c r="A5" s="2" t="inlineStr">
        <is>
          <t>Pricing structure</t>
        </is>
      </c>
      <c r="B5" s="3" t="inlineStr">
        <is>
          <t>Platform fee $10,000/month flat + a rate per successful transaction in 4 tranches.</t>
        </is>
      </c>
      <c r="C5" s="3" t="inlineStr">
        <is>
          <t>Tranche (ladder) pricing: each tranche billed at its own rate within the month, so the average falls as volume grows.</t>
        </is>
      </c>
    </row>
    <row r="6">
      <c r="A6" s="2" t="inlineStr">
        <is>
          <t>Tranches</t>
        </is>
      </c>
      <c r="B6" s="3" t="inlineStr">
        <is>
          <t>0 to 500,000: $0.030 / 500,001 to 1,000,000: $0.025 / 1,000,001 to 2,000,000: $0.020 / above 2,000,000: $0.015</t>
        </is>
      </c>
      <c r="C6" s="3" t="inlineStr">
        <is>
          <t>Rates per German (27-Oct): 3, 2.5, 2 and 1.5 cents, platform fee on top. Top tranche sits at Spreedly's quoted ~1.5 cents.</t>
        </is>
      </c>
    </row>
    <row r="7">
      <c r="A7" s="2" t="inlineStr">
        <is>
          <t>Today's bill</t>
        </is>
      </c>
      <c r="B7" s="3" t="inlineStr">
        <is>
          <t>See tab Calculator: $19,500 usage + $10,000 platform = $29,500 a month ($354,000 a year).</t>
        </is>
      </c>
      <c r="C7" s="3" t="inlineStr">
        <is>
          <t>Average $0.0287 per transaction before the platform fee; $0.0434 all-in.</t>
        </is>
      </c>
    </row>
    <row r="8">
      <c r="A8" s="2" t="inlineStr">
        <is>
          <t>Billing rules</t>
        </is>
      </c>
      <c r="B8" s="3" t="inlineStr">
        <is>
          <t>Charged only on approved transactions. A retried or cascaded payment counts once. Declines cost nothing. No setup fee.</t>
        </is>
      </c>
      <c r="C8" s="3" t="inlineStr">
        <is>
          <t>Matches what was promised on the call (retries charged once when accepted).</t>
        </is>
      </c>
    </row>
    <row r="9">
      <c r="A9" s="2" t="inlineStr">
        <is>
          <t>Included</t>
        </is>
      </c>
      <c r="B9" s="3" t="inlineStr">
        <is>
          <t>Orchestration and rules engine; volume split, cascading, retries; monitors and failover; hosted fields, SDKs, sandbox; new provider connections maintained by Yuno; dashboard and insights; KAM, TAM, solutions engineer.</t>
        </is>
      </c>
      <c r="C9" s="3" t="inlineStr">
        <is>
          <t>"Every acquirer you add is a routing change, not a new fee."</t>
        </is>
      </c>
    </row>
    <row r="10">
      <c r="A10" s="2" t="inlineStr">
        <is>
          <t>Not included (pending review)</t>
        </is>
      </c>
      <c r="B10" s="3" t="inlineStr">
        <is>
          <t>Reconciliation across Breeze, Coinflow, Whop and Checkout, for further review.</t>
        </is>
      </c>
      <c r="C10" s="3" t="inlineStr">
        <is>
          <t>Boris showed interest in reconciliation; scope and price later. Payouts removed from the proposal.</t>
        </is>
      </c>
    </row>
    <row r="11">
      <c r="A11" s="2" t="inlineStr">
        <is>
          <t>Terms</t>
        </is>
      </c>
      <c r="B11" s="3" t="inlineStr">
        <is>
          <t>36-month contract. Rates locked, tranches reviewed annually. Pricing valid 30 days, subject to final agreement.</t>
        </is>
      </c>
      <c r="C11" s="3" t="inlineStr">
        <is>
          <t>Minimums and billing start date not stated yet.</t>
        </is>
      </c>
    </row>
    <row r="12">
      <c r="A12" s="2" t="inlineStr">
        <is>
          <t>Competitive frame</t>
        </is>
      </c>
      <c r="B12" s="3" t="inlineStr">
        <is>
          <t>PaymentIQ ~$0.04/trx, Spreedly ~$0.015/trx (as quoted by Boris). See tab Vs competitors.</t>
        </is>
      </c>
      <c r="C12" s="3" t="inlineStr">
        <is>
          <t>Our usage average ($0.029) sits between them; all-in ($0.043) is about PaymentIQ. Unknown whether their quotes include platform fees: ask.</t>
        </is>
      </c>
    </row>
    <row r="13">
      <c r="A13" s="2" t="inlineStr">
        <is>
          <t>Open risks (internal)</t>
        </is>
      </c>
      <c r="B13" s="3" t="inlineStr">
        <is>
          <t>Pricing approval (Justo + Salesforce). Wallet cascading across MoRs to confirm with Ben Lee. 2-week acquirer SLA not in writing yet. Whop needs a provider ticket. Legal check on Cyprus entity.</t>
        </is>
      </c>
      <c r="C13" s="3" t="inlineStr">
        <is>
          <t>Policy floor is $0.01 per transaction; every tranche is above it (lowest $0.015).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8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8" customWidth="1" min="2" max="2"/>
    <col width="18" customWidth="1" min="3" max="3"/>
    <col width="16" customWidth="1" min="4" max="4"/>
    <col width="18" customWidth="1" min="5" max="5"/>
    <col width="18" customWidth="1" min="6" max="6"/>
  </cols>
  <sheetData>
    <row r="1" ht="30" customHeight="1">
      <c r="A1" s="1" t="inlineStr">
        <is>
          <t>Input</t>
        </is>
      </c>
      <c r="B1" s="1" t="inlineStr">
        <is>
          <t>Value</t>
        </is>
      </c>
      <c r="C1" s="1" t="inlineStr"/>
      <c r="D1" s="1" t="inlineStr"/>
      <c r="E1" s="1" t="inlineStr"/>
      <c r="F1" s="1" t="inlineStr"/>
    </row>
    <row r="2">
      <c r="A2" s="2" t="inlineStr">
        <is>
          <t>Successful transactions / month (edit)</t>
        </is>
      </c>
      <c r="B2" s="4" t="n">
        <v>680000</v>
      </c>
      <c r="C2" s="3" t="inlineStr"/>
      <c r="D2" s="3" t="inlineStr"/>
      <c r="E2" s="3" t="inlineStr"/>
      <c r="F2" s="3" t="inlineStr"/>
    </row>
    <row r="3">
      <c r="A3" s="2" t="inlineStr">
        <is>
          <t>Platform fee / month</t>
        </is>
      </c>
      <c r="B3" s="5" t="n">
        <v>10000</v>
      </c>
      <c r="C3" s="3" t="inlineStr"/>
      <c r="D3" s="3" t="inlineStr"/>
      <c r="E3" s="3" t="inlineStr"/>
      <c r="F3" s="3" t="inlineStr"/>
    </row>
    <row r="5" ht="30" customHeight="1">
      <c r="A5" s="1" t="inlineStr">
        <is>
          <t>Tranche</t>
        </is>
      </c>
      <c r="B5" s="1" t="inlineStr">
        <is>
          <t>From</t>
        </is>
      </c>
      <c r="C5" s="1" t="inlineStr">
        <is>
          <t>To</t>
        </is>
      </c>
      <c r="D5" s="1" t="inlineStr">
        <is>
          <t>Rate / trx</t>
        </is>
      </c>
      <c r="E5" s="1" t="inlineStr">
        <is>
          <t>Trx in tranche</t>
        </is>
      </c>
      <c r="F5" s="1" t="inlineStr">
        <is>
          <t>Cost / month</t>
        </is>
      </c>
    </row>
    <row r="6">
      <c r="A6" s="2" t="inlineStr">
        <is>
          <t>Tranche 1</t>
        </is>
      </c>
      <c r="B6" s="6" t="n">
        <v>0</v>
      </c>
      <c r="C6" s="6" t="n">
        <v>500000</v>
      </c>
      <c r="D6" s="7" t="n">
        <v>0.03</v>
      </c>
      <c r="E6" s="6">
        <f>MAX(0,MIN($B$2,500000)-0)</f>
        <v/>
      </c>
      <c r="F6" s="8">
        <f>E6*D6</f>
        <v/>
      </c>
    </row>
    <row r="7">
      <c r="A7" s="2" t="inlineStr">
        <is>
          <t>Tranche 2</t>
        </is>
      </c>
      <c r="B7" s="6" t="n">
        <v>500001</v>
      </c>
      <c r="C7" s="6" t="n">
        <v>1000000</v>
      </c>
      <c r="D7" s="7" t="n">
        <v>0.025</v>
      </c>
      <c r="E7" s="6">
        <f>MAX(0,MIN($B$2,1000000)-500000)</f>
        <v/>
      </c>
      <c r="F7" s="8">
        <f>E7*D7</f>
        <v/>
      </c>
    </row>
    <row r="8">
      <c r="A8" s="2" t="inlineStr">
        <is>
          <t>Tranche 3</t>
        </is>
      </c>
      <c r="B8" s="6" t="n">
        <v>1000001</v>
      </c>
      <c r="C8" s="6" t="n">
        <v>2000000</v>
      </c>
      <c r="D8" s="7" t="n">
        <v>0.02</v>
      </c>
      <c r="E8" s="6">
        <f>MAX(0,MIN($B$2,2000000)-1000000)</f>
        <v/>
      </c>
      <c r="F8" s="8">
        <f>E8*D8</f>
        <v/>
      </c>
    </row>
    <row r="9">
      <c r="A9" s="2" t="inlineStr">
        <is>
          <t>Tranche 4</t>
        </is>
      </c>
      <c r="B9" s="6" t="n">
        <v>2000001</v>
      </c>
      <c r="C9" s="6" t="inlineStr">
        <is>
          <t>no cap</t>
        </is>
      </c>
      <c r="D9" s="7" t="n">
        <v>0.015</v>
      </c>
      <c r="E9" s="6">
        <f>MAX(0,$B$2-2000000)</f>
        <v/>
      </c>
      <c r="F9" s="8">
        <f>E9*D9</f>
        <v/>
      </c>
    </row>
    <row r="11">
      <c r="A11" s="2" t="inlineStr">
        <is>
          <t>Usage subtotal</t>
        </is>
      </c>
      <c r="B11" s="2" t="inlineStr"/>
      <c r="C11" s="2" t="inlineStr"/>
      <c r="D11" s="2" t="inlineStr"/>
      <c r="E11" s="9">
        <f>SUM(E6:E9)</f>
        <v/>
      </c>
      <c r="F11" s="10">
        <f>SUM(F6:F9)</f>
        <v/>
      </c>
    </row>
    <row r="12">
      <c r="A12" s="2" t="inlineStr">
        <is>
          <t>Platform fee</t>
        </is>
      </c>
      <c r="B12" s="3" t="inlineStr"/>
      <c r="C12" s="3" t="inlineStr"/>
      <c r="D12" s="3" t="inlineStr"/>
      <c r="E12" s="3" t="inlineStr"/>
      <c r="F12" s="8">
        <f>B3</f>
        <v/>
      </c>
    </row>
    <row r="13">
      <c r="A13" s="11" t="inlineStr">
        <is>
          <t>Total / month</t>
        </is>
      </c>
      <c r="B13" s="11" t="inlineStr"/>
      <c r="C13" s="11" t="inlineStr"/>
      <c r="D13" s="11" t="inlineStr"/>
      <c r="E13" s="11" t="inlineStr"/>
      <c r="F13" s="12">
        <f>F11+F12</f>
        <v/>
      </c>
    </row>
    <row r="14">
      <c r="A14" s="2" t="inlineStr">
        <is>
          <t>Total / year</t>
        </is>
      </c>
      <c r="B14" s="3" t="inlineStr"/>
      <c r="C14" s="3" t="inlineStr"/>
      <c r="D14" s="3" t="inlineStr"/>
      <c r="E14" s="3" t="inlineStr"/>
      <c r="F14" s="8">
        <f>F13*12</f>
        <v/>
      </c>
    </row>
    <row r="15">
      <c r="A15" s="11" t="inlineStr">
        <is>
          <t>Average usage rate / trx (before platform fee)</t>
        </is>
      </c>
      <c r="B15" s="11" t="inlineStr"/>
      <c r="C15" s="11" t="inlineStr"/>
      <c r="D15" s="11" t="inlineStr"/>
      <c r="E15" s="11" t="inlineStr"/>
      <c r="F15" s="13">
        <f>F11/B2</f>
        <v/>
      </c>
    </row>
    <row r="16">
      <c r="A16" s="11" t="inlineStr">
        <is>
          <t>All-in rate / trx (with platform fee)</t>
        </is>
      </c>
      <c r="B16" s="11" t="inlineStr"/>
      <c r="C16" s="11" t="inlineStr"/>
      <c r="D16" s="11" t="inlineStr"/>
      <c r="E16" s="11" t="inlineStr"/>
      <c r="F16" s="13">
        <f>F13/B2</f>
        <v/>
      </c>
    </row>
    <row r="18">
      <c r="A18" s="14" t="inlineStr">
        <is>
          <t>Yellow cells are inputs: change the volume or a rate and every number updates.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 ht="30" customHeight="1">
      <c r="A1" s="1" t="inlineStr">
        <is>
          <t>Monthly transactions</t>
        </is>
      </c>
      <c r="B1" s="1" t="inlineStr">
        <is>
          <t>Usage / month</t>
        </is>
      </c>
      <c r="C1" s="1" t="inlineStr">
        <is>
          <t>Platform fee</t>
        </is>
      </c>
      <c r="D1" s="1" t="inlineStr">
        <is>
          <t>Total / month</t>
        </is>
      </c>
      <c r="E1" s="1" t="inlineStr">
        <is>
          <t>Usage avg / trx</t>
        </is>
      </c>
      <c r="F1" s="1" t="inlineStr">
        <is>
          <t>All-in / trx</t>
        </is>
      </c>
    </row>
    <row r="2">
      <c r="A2" s="9" t="n">
        <v>680000</v>
      </c>
      <c r="B2" s="8">
        <f>MAX(0,MIN(A2,500000)-0)*0.03+MAX(0,MIN(A2,1000000)-500000)*0.025+MAX(0,MIN(A2,2000000)-1000000)*0.02+MAX(0,A2-2000000)*0.015</f>
        <v/>
      </c>
      <c r="C2" s="8">
        <f>Calculator!$B$3</f>
        <v/>
      </c>
      <c r="D2" s="8">
        <f>B2+C2</f>
        <v/>
      </c>
      <c r="E2" s="15">
        <f>B2/A2</f>
        <v/>
      </c>
      <c r="F2" s="15">
        <f>D2/A2</f>
        <v/>
      </c>
    </row>
    <row r="3">
      <c r="A3" s="9" t="n">
        <v>1000000</v>
      </c>
      <c r="B3" s="8">
        <f>MAX(0,MIN(A3,500000)-0)*0.03+MAX(0,MIN(A3,1000000)-500000)*0.025+MAX(0,MIN(A3,2000000)-1000000)*0.02+MAX(0,A3-2000000)*0.015</f>
        <v/>
      </c>
      <c r="C3" s="8">
        <f>Calculator!$B$3</f>
        <v/>
      </c>
      <c r="D3" s="8">
        <f>B3+C3</f>
        <v/>
      </c>
      <c r="E3" s="15">
        <f>B3/A3</f>
        <v/>
      </c>
      <c r="F3" s="15">
        <f>D3/A3</f>
        <v/>
      </c>
    </row>
    <row r="4">
      <c r="A4" s="9" t="n">
        <v>1500000</v>
      </c>
      <c r="B4" s="8">
        <f>MAX(0,MIN(A4,500000)-0)*0.03+MAX(0,MIN(A4,1000000)-500000)*0.025+MAX(0,MIN(A4,2000000)-1000000)*0.02+MAX(0,A4-2000000)*0.015</f>
        <v/>
      </c>
      <c r="C4" s="8">
        <f>Calculator!$B$3</f>
        <v/>
      </c>
      <c r="D4" s="8">
        <f>B4+C4</f>
        <v/>
      </c>
      <c r="E4" s="15">
        <f>B4/A4</f>
        <v/>
      </c>
      <c r="F4" s="15">
        <f>D4/A4</f>
        <v/>
      </c>
    </row>
    <row r="5">
      <c r="A5" s="9" t="n">
        <v>2000000</v>
      </c>
      <c r="B5" s="8">
        <f>MAX(0,MIN(A5,500000)-0)*0.03+MAX(0,MIN(A5,1000000)-500000)*0.025+MAX(0,MIN(A5,2000000)-1000000)*0.02+MAX(0,A5-2000000)*0.015</f>
        <v/>
      </c>
      <c r="C5" s="8">
        <f>Calculator!$B$3</f>
        <v/>
      </c>
      <c r="D5" s="8">
        <f>B5+C5</f>
        <v/>
      </c>
      <c r="E5" s="15">
        <f>B5/A5</f>
        <v/>
      </c>
      <c r="F5" s="15">
        <f>D5/A5</f>
        <v/>
      </c>
    </row>
    <row r="6">
      <c r="A6" s="9" t="n">
        <v>3000000</v>
      </c>
      <c r="B6" s="8">
        <f>MAX(0,MIN(A6,500000)-0)*0.03+MAX(0,MIN(A6,1000000)-500000)*0.025+MAX(0,MIN(A6,2000000)-1000000)*0.02+MAX(0,A6-2000000)*0.015</f>
        <v/>
      </c>
      <c r="C6" s="8">
        <f>Calculator!$B$3</f>
        <v/>
      </c>
      <c r="D6" s="8">
        <f>B6+C6</f>
        <v/>
      </c>
      <c r="E6" s="15">
        <f>B6/A6</f>
        <v/>
      </c>
      <c r="F6" s="15">
        <f>D6/A6</f>
        <v/>
      </c>
    </row>
    <row r="8">
      <c r="A8" s="14" t="inlineStr">
        <is>
          <t>Volumes above today are illustrative (expansion to Canada, Australia, France, Spain), not forecasts.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7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18" customWidth="1" min="3" max="3"/>
    <col width="18" customWidth="1" min="4" max="4"/>
    <col width="50" customWidth="1" min="5" max="5"/>
  </cols>
  <sheetData>
    <row r="1" ht="30" customHeight="1">
      <c r="A1" s="1" t="inlineStr">
        <is>
          <t>Option</t>
        </is>
      </c>
      <c r="B1" s="1" t="inlineStr">
        <is>
          <t>Rate / trx</t>
        </is>
      </c>
      <c r="C1" s="1" t="inlineStr">
        <is>
          <t>Cost / month</t>
        </is>
      </c>
      <c r="D1" s="1" t="inlineStr">
        <is>
          <t>Cost / year</t>
        </is>
      </c>
      <c r="E1" s="1" t="inlineStr">
        <is>
          <t>Note</t>
        </is>
      </c>
    </row>
    <row r="2">
      <c r="A2" s="2" t="inlineStr">
        <is>
          <t>Spreedly (quoted)</t>
        </is>
      </c>
      <c r="B2" s="16" t="n">
        <v>0.015</v>
      </c>
      <c r="C2" s="8">
        <f>B2*Calculator!$B$2</f>
        <v/>
      </c>
      <c r="D2" s="8">
        <f>C2*12</f>
        <v/>
      </c>
      <c r="E2" s="3" t="inlineStr">
        <is>
          <t>As quoted by Boris; unknown if a platform fee applies on top.</t>
        </is>
      </c>
    </row>
    <row r="3">
      <c r="A3" s="2" t="inlineStr">
        <is>
          <t>Yuno usage only</t>
        </is>
      </c>
      <c r="B3" s="15">
        <f>Calculator!F15</f>
        <v/>
      </c>
      <c r="C3" s="8">
        <f>Calculator!F11</f>
        <v/>
      </c>
      <c r="D3" s="8">
        <f>C3*12</f>
        <v/>
      </c>
      <c r="E3" s="3" t="inlineStr">
        <is>
          <t>Tranche usage before the platform fee.</t>
        </is>
      </c>
    </row>
    <row r="4">
      <c r="A4" s="11" t="inlineStr">
        <is>
          <t>Yuno all-in</t>
        </is>
      </c>
      <c r="B4" s="17">
        <f>Calculator!F16</f>
        <v/>
      </c>
      <c r="C4" s="18">
        <f>Calculator!F13</f>
        <v/>
      </c>
      <c r="D4" s="18">
        <f>C4*12</f>
        <v/>
      </c>
      <c r="E4" s="19" t="inlineStr">
        <is>
          <t>Usage plus the $10,000 platform fee.</t>
        </is>
      </c>
    </row>
    <row r="5">
      <c r="A5" s="2" t="inlineStr">
        <is>
          <t>PaymentIQ (quoted)</t>
        </is>
      </c>
      <c r="B5" s="16" t="n">
        <v>0.04</v>
      </c>
      <c r="C5" s="8">
        <f>B5*Calculator!$B$2</f>
        <v/>
      </c>
      <c r="D5" s="8">
        <f>C5*12</f>
        <v/>
      </c>
      <c r="E5" s="3" t="inlineStr">
        <is>
          <t>As quoted by Boris; unknown if a platform fee applies on top.</t>
        </is>
      </c>
    </row>
    <row r="7">
      <c r="A7" s="14" t="inlineStr">
        <is>
          <t>Ask Boris whether the PaymentIQ and Spreedly quotes are all-in; the comparison changes if they carry platform fees.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2026-10-27T22:51:38Z</dcterms:created>
  <dcterms:modified xmlns:dcterms="http://purl.org/dc/terms/" xmlns:xsi="http://www.w3.org/2001/XMLSchema-instance" xsi:type="dcterms:W3CDTF">2026-10-27T22:51:38Z</dcterms:modified>
</cp:coreProperties>
</file>