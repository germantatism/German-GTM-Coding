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icing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BreakEven" sheetId="5" state="visible" r:id="rId5"/>
    <sheet xmlns:r="http://schemas.openxmlformats.org/officeDocument/2006/relationships" name="Ramp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;($#,##0.0);-"/>
    <numFmt numFmtId="165" formatCode="#,##0;(#,##0);-"/>
    <numFmt numFmtId="166" formatCode="$#,##0;($#,##0);-"/>
    <numFmt numFmtId="167" formatCode="0.0%;-0.0%;-"/>
    <numFmt numFmtId="168" formatCode="0.00%;-0.00%;-"/>
    <numFmt numFmtId="169" formatCode="$#,##0.000;($#,##0.000);-"/>
    <numFmt numFmtId="170" formatCode="0.0&quot;x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0000FF"/>
      <sz val="10"/>
    </font>
    <font>
      <name val="Arial"/>
      <sz val="10"/>
    </font>
    <font>
      <name val="Arial"/>
      <i val="1"/>
      <color rgb="00595959"/>
      <sz val="8"/>
    </font>
    <font>
      <name val="Arial"/>
      <color rgb="00008000"/>
      <sz val="10"/>
    </font>
    <font>
      <name val="Arial"/>
      <b val="1"/>
      <sz val="10"/>
    </font>
    <font>
      <name val="Arial"/>
      <color rgb="002C4F72"/>
      <sz val="8"/>
    </font>
    <font>
      <name val="Arial"/>
      <b val="1"/>
      <color rgb="001B3A5C"/>
      <sz val="16"/>
    </font>
  </fonts>
  <fills count="10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C4F72"/>
        <bgColor rgb="002C4F72"/>
      </patternFill>
    </fill>
    <fill>
      <patternFill patternType="solid">
        <fgColor rgb="002E75B6"/>
        <bgColor rgb="002E75B6"/>
      </patternFill>
    </fill>
    <fill>
      <patternFill patternType="solid">
        <fgColor rgb="00DDE6F0"/>
        <bgColor rgb="00DDE6F0"/>
      </patternFill>
    </fill>
    <fill>
      <patternFill patternType="solid">
        <fgColor rgb="00FFFF00"/>
        <bgColor rgb="00FFFF00"/>
      </patternFill>
    </fill>
    <fill>
      <patternFill patternType="solid">
        <fgColor rgb="00375623"/>
        <bgColor rgb="00375623"/>
      </patternFill>
    </fill>
    <fill>
      <patternFill patternType="solid">
        <fgColor rgb="00F5F5F5"/>
        <bgColor rgb="00F5F5F5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11" fillId="9" borderId="0" applyAlignment="1" pivotButton="0" quotePrefix="0" xfId="0">
      <alignment horizontal="center" vertical="center" wrapText="1"/>
    </xf>
    <xf numFmtId="165" fontId="12" fillId="9" borderId="0" applyAlignment="1" pivotButton="0" quotePrefix="0" xfId="0">
      <alignment horizontal="center"/>
    </xf>
    <xf numFmtId="166" fontId="12" fillId="9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165" fontId="3" fillId="4" borderId="0" applyAlignment="1" pivotButton="0" quotePrefix="0" xfId="0">
      <alignment horizontal="center" vertical="center" wrapText="1"/>
    </xf>
    <xf numFmtId="0" fontId="5" fillId="8" borderId="0" pivotButton="0" quotePrefix="0" xfId="0"/>
    <xf numFmtId="166" fontId="7" fillId="8" borderId="1" pivotButton="0" quotePrefix="0" xfId="0"/>
    <xf numFmtId="0" fontId="5" fillId="0" borderId="0" pivotButton="0" quotePrefix="0" xfId="0"/>
    <xf numFmtId="166" fontId="7" fillId="0" borderId="1" pivotButton="0" quotePrefix="0" xfId="0"/>
    <xf numFmtId="168" fontId="7" fillId="8" borderId="1" pivotButton="0" quotePrefix="0" xfId="0"/>
    <xf numFmtId="164" fontId="7" fillId="0" borderId="1" pivotButton="0" quotePrefix="0" xfId="0"/>
    <xf numFmtId="164" fontId="7" fillId="8" borderId="1" pivotButton="0" quotePrefix="0" xfId="0"/>
    <xf numFmtId="0" fontId="4" fillId="0" borderId="0" pivotButton="0" quotePrefix="0" xfId="0"/>
    <xf numFmtId="166" fontId="10" fillId="0" borderId="1" pivotButton="0" quotePrefix="0" xfId="0"/>
    <xf numFmtId="0" fontId="4" fillId="8" borderId="0" pivotButton="0" quotePrefix="0" xfId="0"/>
    <xf numFmtId="166" fontId="10" fillId="8" borderId="1" pivotButton="0" quotePrefix="0" xfId="0"/>
    <xf numFmtId="0" fontId="3" fillId="7" borderId="0" applyAlignment="1" pivotButton="0" quotePrefix="0" xfId="0">
      <alignment horizontal="center" vertical="center" wrapText="1"/>
    </xf>
    <xf numFmtId="170" fontId="7" fillId="0" borderId="1" pivotButton="0" quotePrefix="0" xfId="0"/>
    <xf numFmtId="165" fontId="10" fillId="0" borderId="1" pivotButton="0" quotePrefix="0" xfId="0"/>
    <xf numFmtId="0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4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horizontal="center"/>
    </xf>
    <xf numFmtId="164" fontId="6" fillId="0" borderId="1" pivotButton="0" quotePrefix="0" xfId="0"/>
    <xf numFmtId="0" fontId="5" fillId="0" borderId="0" applyAlignment="1" pivotButton="0" quotePrefix="0" xfId="0">
      <alignment vertical="top" wrapText="1"/>
    </xf>
    <xf numFmtId="165" fontId="6" fillId="0" borderId="1" pivotButton="0" quotePrefix="0" xfId="0"/>
    <xf numFmtId="165" fontId="7" fillId="0" borderId="1" pivotButton="0" quotePrefix="0" xfId="0"/>
    <xf numFmtId="167" fontId="6" fillId="6" borderId="1" pivotButton="0" quotePrefix="0" xfId="0"/>
    <xf numFmtId="167" fontId="7" fillId="0" borderId="1" pivotButton="0" quotePrefix="0" xfId="0"/>
    <xf numFmtId="1" fontId="6" fillId="0" borderId="1" pivotButton="0" quotePrefix="0" xfId="0"/>
    <xf numFmtId="1" fontId="7" fillId="0" borderId="1" pivotButton="0" quotePrefix="0" xfId="0"/>
    <xf numFmtId="168" fontId="6" fillId="6" borderId="1" pivotButton="0" quotePrefix="0" xfId="0"/>
    <xf numFmtId="168" fontId="7" fillId="0" borderId="1" pivotButton="0" quotePrefix="0" xfId="0"/>
    <xf numFmtId="168" fontId="6" fillId="0" borderId="1" pivotButton="0" quotePrefix="0" xfId="0"/>
    <xf numFmtId="1" fontId="6" fillId="6" borderId="1" pivotButton="0" quotePrefix="0" xfId="0"/>
    <xf numFmtId="166" fontId="6" fillId="6" borderId="1" pivotButton="0" quotePrefix="0" xfId="0"/>
    <xf numFmtId="166" fontId="6" fillId="0" borderId="1" pivotButton="0" quotePrefix="0" xfId="0"/>
    <xf numFmtId="169" fontId="6" fillId="0" borderId="1" pivotButton="0" quotePrefix="0" xfId="0"/>
    <xf numFmtId="169" fontId="7" fillId="0" borderId="1" pivotButton="0" quotePrefix="0" xfId="0"/>
    <xf numFmtId="0" fontId="8" fillId="0" borderId="0" pivotButton="0" quotePrefix="0" xfId="0"/>
    <xf numFmtId="166" fontId="9" fillId="0" borderId="1" pivotButton="0" quotePrefix="0" xfId="0"/>
    <xf numFmtId="168" fontId="9" fillId="0" borderId="1" pivotButton="0" quotePrefix="0" xfId="0"/>
    <xf numFmtId="165" fontId="9" fillId="0" borderId="1" pivotButton="0" quotePrefix="0" xfId="0"/>
    <xf numFmtId="169" fontId="9" fillId="0" borderId="1" pivotButton="0" quotePrefix="0" xfId="0"/>
    <xf numFmtId="165" fontId="7" fillId="8" borderId="1" pivotButton="0" quotePrefix="0" xfId="0"/>
    <xf numFmtId="168" fontId="10" fillId="0" borderId="1" pivotButton="0" quotePrefix="0" xfId="0"/>
    <xf numFmtId="169" fontId="10" fillId="8" borderId="1" pivotButton="0" quotePrefix="0" xfId="0"/>
    <xf numFmtId="168" fontId="9" fillId="8" borderId="1" pivotButton="0" quotePrefix="0" xfId="0"/>
    <xf numFmtId="1" fontId="9" fillId="8" borderId="1" pivotButton="0" quotePrefix="0" xfId="0"/>
    <xf numFmtId="169" fontId="7" fillId="8" borderId="1" pivotButton="0" quotePrefix="0" xfId="0"/>
    <xf numFmtId="170" fontId="7" fillId="8" borderId="1" pivotButton="0" quotePrefix="0" xfId="0"/>
    <xf numFmtId="165" fontId="6" fillId="0" borderId="0" pivotButton="0" quotePrefix="0" xfId="0"/>
    <xf numFmtId="166" fontId="7" fillId="0" borderId="0" pivotButton="0" quotePrefix="0" xfId="0"/>
    <xf numFmtId="168" fontId="7" fillId="0" borderId="0" pivotButton="0" quotePrefix="0" xfId="0"/>
    <xf numFmtId="166" fontId="10" fillId="0" borderId="0" pivotButton="0" quotePrefix="0" xfId="0"/>
    <xf numFmtId="1" fontId="7" fillId="0" borderId="0" pivotButton="0" quotePrefix="0" xfId="0"/>
    <xf numFmtId="165" fontId="7" fillId="0" borderId="0" pivotButton="0" quotePrefix="0" xfId="0"/>
    <xf numFmtId="0" fontId="10" fillId="0" borderId="1" pivotButton="0" quotePrefix="0" xfId="0"/>
    <xf numFmtId="0" fontId="4" fillId="9" borderId="0" pivotButton="0" quotePrefix="0" xfId="0"/>
    <xf numFmtId="165" fontId="10" fillId="9" borderId="0" pivotButton="0" quotePrefix="0" xfId="0"/>
    <xf numFmtId="166" fontId="10" fillId="9" borderId="0" pivotButton="0" quotePrefix="0" xfId="0"/>
    <xf numFmtId="164" fontId="9" fillId="9" borderId="0" pivotButton="0" quotePrefix="0" xfId="0"/>
    <xf numFmtId="0" fontId="0" fillId="9" borderId="0" pivotButton="0" quotePrefix="0" xfId="0"/>
    <xf numFmtId="164" fontId="6" fillId="9" borderId="0" pivotButton="0" quotePrefix="0" xfId="0"/>
    <xf numFmtId="167" fontId="6" fillId="0" borderId="1" pivotButton="0" quotePrefix="0" xfId="0"/>
    <xf numFmtId="167" fontId="9" fillId="0" borderId="1" pivotButton="0" quotePrefix="0" xfId="0"/>
    <xf numFmtId="1" fontId="7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 ht="36" customHeight="1">
      <c r="A1" s="1" t="inlineStr">
        <is>
          <t>Carry1st x Yuno · LatAm Shop launch · Business case summary</t>
        </is>
      </c>
    </row>
    <row r="2" ht="15.75" customHeight="1">
      <c r="A2" s="2" t="inlineStr">
        <is>
          <t>Brazil, Argentina, Mexico, Bolivia, Colombia · EBANX direct vs EBANX + dLocal through Yuno · $10 average ticket, $5 median · USD · Confidential, prepared for Carry1st, 15 Oct 2026</t>
        </is>
      </c>
    </row>
    <row r="3" ht="9.75" customHeight="1"/>
    <row r="4" ht="26" customHeight="1">
      <c r="B4" s="3" t="inlineStr">
        <is>
          <t>Run-rate transactions / month</t>
        </is>
      </c>
      <c r="C4" s="3" t="inlineStr">
        <is>
          <t>Run-rate TPV / year</t>
        </is>
      </c>
      <c r="D4" s="3" t="inlineStr">
        <is>
          <t>Option A cost / year (run rate)</t>
        </is>
      </c>
      <c r="E4" s="3" t="inlineStr">
        <is>
          <t>Option B cost / year (provider + Yuno)</t>
        </is>
      </c>
      <c r="F4" s="3" t="inlineStr">
        <is>
          <t>Net benefit / year, base (contribution)</t>
        </is>
      </c>
      <c r="G4" s="3" t="inlineStr">
        <is>
          <t>Break-even tx / month, base</t>
        </is>
      </c>
    </row>
    <row r="5" ht="28" customHeight="1">
      <c r="B5" s="4">
        <f>Model!I5</f>
        <v/>
      </c>
      <c r="C5" s="5">
        <f>Model!I6*12</f>
        <v/>
      </c>
      <c r="D5" s="5">
        <f>Model!I44</f>
        <v/>
      </c>
      <c r="E5" s="5">
        <f>Model!I45</f>
        <v/>
      </c>
      <c r="F5" s="5">
        <f>Model!I48</f>
        <v/>
      </c>
      <c r="G5" s="4">
        <f>BreakEven!C6</f>
        <v/>
      </c>
    </row>
    <row r="7" ht="18" customHeight="1">
      <c r="B7" s="6" t="inlineStr">
        <is>
          <t>Base scenario by volume tier (monthly)</t>
        </is>
      </c>
      <c r="D7" s="7">
        <f>Inputs!$D$8</f>
        <v/>
      </c>
      <c r="E7" s="7">
        <f>Inputs!$D$9</f>
        <v/>
      </c>
      <c r="F7" s="7">
        <f>Inputs!$D$10</f>
        <v/>
      </c>
      <c r="G7" s="7">
        <f>Inputs!$D$11</f>
        <v/>
      </c>
    </row>
    <row r="8">
      <c r="B8" s="8" t="inlineStr">
        <is>
          <t>Net TPV a month</t>
        </is>
      </c>
      <c r="D8" s="9">
        <f>Model!F6</f>
        <v/>
      </c>
      <c r="E8" s="9">
        <f>Model!G6</f>
        <v/>
      </c>
      <c r="F8" s="9">
        <f>Model!H6</f>
        <v/>
      </c>
      <c r="G8" s="9">
        <f>Model!I6</f>
        <v/>
      </c>
    </row>
    <row r="9">
      <c r="B9" s="10" t="inlineStr">
        <is>
          <t>Option A cost</t>
        </is>
      </c>
      <c r="D9" s="11">
        <f>Model!F9</f>
        <v/>
      </c>
      <c r="E9" s="11">
        <f>Model!G9</f>
        <v/>
      </c>
      <c r="F9" s="11">
        <f>Model!H9</f>
        <v/>
      </c>
      <c r="G9" s="11">
        <f>Model!I9</f>
        <v/>
      </c>
    </row>
    <row r="10">
      <c r="B10" s="8" t="inlineStr">
        <is>
          <t>Option B cost (provider + Yuno)</t>
        </is>
      </c>
      <c r="D10" s="9">
        <f>Model!F25</f>
        <v/>
      </c>
      <c r="E10" s="9">
        <f>Model!G25</f>
        <v/>
      </c>
      <c r="F10" s="9">
        <f>Model!H25</f>
        <v/>
      </c>
      <c r="G10" s="9">
        <f>Model!I25</f>
        <v/>
      </c>
    </row>
    <row r="11">
      <c r="B11" s="10" t="inlineStr">
        <is>
          <t>of which Yuno</t>
        </is>
      </c>
      <c r="D11" s="11">
        <f>Model!F22</f>
        <v/>
      </c>
      <c r="E11" s="11">
        <f>Model!G22</f>
        <v/>
      </c>
      <c r="F11" s="11">
        <f>Model!H22</f>
        <v/>
      </c>
      <c r="G11" s="11">
        <f>Model!I22</f>
        <v/>
      </c>
    </row>
    <row r="12">
      <c r="B12" s="8" t="inlineStr">
        <is>
          <t>Yuno, % of TPV</t>
        </is>
      </c>
      <c r="D12" s="12">
        <f>Model!F23</f>
        <v/>
      </c>
      <c r="E12" s="12">
        <f>Model!G23</f>
        <v/>
      </c>
      <c r="F12" s="12">
        <f>Model!H23</f>
        <v/>
      </c>
      <c r="G12" s="12">
        <f>Model!I23</f>
        <v/>
      </c>
    </row>
    <row r="13">
      <c r="B13" s="10" t="inlineStr">
        <is>
          <t>Option A, $ per $1,000 TPV</t>
        </is>
      </c>
      <c r="D13" s="13">
        <f>Model!F10</f>
        <v/>
      </c>
      <c r="E13" s="13">
        <f>Model!G10</f>
        <v/>
      </c>
      <c r="F13" s="13">
        <f>Model!H10</f>
        <v/>
      </c>
      <c r="G13" s="13">
        <f>Model!I10</f>
        <v/>
      </c>
    </row>
    <row r="14">
      <c r="B14" s="8" t="inlineStr">
        <is>
          <t>Option B, $ per $1,000 TPV</t>
        </is>
      </c>
      <c r="D14" s="14">
        <f>Model!F26</f>
        <v/>
      </c>
      <c r="E14" s="14">
        <f>Model!G26</f>
        <v/>
      </c>
      <c r="F14" s="14">
        <f>Model!H26</f>
        <v/>
      </c>
      <c r="G14" s="14">
        <f>Model!I26</f>
        <v/>
      </c>
    </row>
    <row r="15">
      <c r="B15" s="10" t="inlineStr">
        <is>
          <t>Option B after levers, $ per $1,000</t>
        </is>
      </c>
      <c r="D15" s="13">
        <f>Model!F40</f>
        <v/>
      </c>
      <c r="E15" s="13">
        <f>Model!G40</f>
        <v/>
      </c>
      <c r="F15" s="13">
        <f>Model!H40</f>
        <v/>
      </c>
      <c r="G15" s="13">
        <f>Model!I40</f>
        <v/>
      </c>
    </row>
    <row r="16">
      <c r="B16" s="8" t="inlineStr">
        <is>
          <t>Gross benefit (contribution)</t>
        </is>
      </c>
      <c r="D16" s="9">
        <f>Model!F36</f>
        <v/>
      </c>
      <c r="E16" s="9">
        <f>Model!G36</f>
        <v/>
      </c>
      <c r="F16" s="9">
        <f>Model!H36</f>
        <v/>
      </c>
      <c r="G16" s="9">
        <f>Model!I36</f>
        <v/>
      </c>
    </row>
    <row r="17">
      <c r="B17" s="15" t="inlineStr">
        <is>
          <t>Net benefit (contribution)</t>
        </is>
      </c>
      <c r="D17" s="16">
        <f>Model!F38</f>
        <v/>
      </c>
      <c r="E17" s="16">
        <f>Model!G38</f>
        <v/>
      </c>
      <c r="F17" s="16">
        <f>Model!H38</f>
        <v/>
      </c>
      <c r="G17" s="16">
        <f>Model!I38</f>
        <v/>
      </c>
    </row>
    <row r="18">
      <c r="B18" s="17" t="inlineStr">
        <is>
          <t>Net benefit (GMV view)</t>
        </is>
      </c>
      <c r="D18" s="18">
        <f>Model!F39</f>
        <v/>
      </c>
      <c r="E18" s="18">
        <f>Model!G39</f>
        <v/>
      </c>
      <c r="F18" s="18">
        <f>Model!H39</f>
        <v/>
      </c>
      <c r="G18" s="18">
        <f>Model!I39</f>
        <v/>
      </c>
    </row>
    <row r="20" ht="18" customHeight="1">
      <c r="B20" s="19" t="inlineStr">
        <is>
          <t>Three scenarios (contribution view)</t>
        </is>
      </c>
      <c r="D20" s="19" t="inlineStr">
        <is>
          <t>Conservative</t>
        </is>
      </c>
      <c r="E20" s="19" t="inlineStr">
        <is>
          <t>Base</t>
        </is>
      </c>
      <c r="F20" s="19" t="inlineStr">
        <is>
          <t>Optimistic</t>
        </is>
      </c>
    </row>
    <row r="21">
      <c r="B21" s="10" t="inlineStr">
        <is>
          <t>Net a month at launch (tier 1)</t>
        </is>
      </c>
      <c r="D21" s="11">
        <f>Model!B38</f>
        <v/>
      </c>
      <c r="E21" s="11">
        <f>Model!F38</f>
        <v/>
      </c>
      <c r="F21" s="11">
        <f>Model!J38</f>
        <v/>
      </c>
    </row>
    <row r="22">
      <c r="B22" s="10" t="inlineStr">
        <is>
          <t>Net a month at run rate (tier 4)</t>
        </is>
      </c>
      <c r="D22" s="11">
        <f>Model!E38</f>
        <v/>
      </c>
      <c r="E22" s="11">
        <f>Model!I38</f>
        <v/>
      </c>
      <c r="F22" s="11">
        <f>Model!M38</f>
        <v/>
      </c>
    </row>
    <row r="23">
      <c r="B23" s="15" t="inlineStr">
        <is>
          <t>Net a year at run rate</t>
        </is>
      </c>
      <c r="D23" s="16">
        <f>Model!E48</f>
        <v/>
      </c>
      <c r="E23" s="16">
        <f>Model!I48</f>
        <v/>
      </c>
      <c r="F23" s="16">
        <f>Model!M48</f>
        <v/>
      </c>
    </row>
    <row r="24">
      <c r="B24" s="10" t="inlineStr">
        <is>
          <t>Gross / Yuno cost at run rate</t>
        </is>
      </c>
      <c r="D24" s="20">
        <f>Model!E42</f>
        <v/>
      </c>
      <c r="E24" s="20">
        <f>Model!I42</f>
        <v/>
      </c>
      <c r="F24" s="20">
        <f>Model!M42</f>
        <v/>
      </c>
    </row>
    <row r="25">
      <c r="B25" s="15" t="inlineStr">
        <is>
          <t>Break-even transactions a month</t>
        </is>
      </c>
      <c r="D25" s="21">
        <f>BreakEven!C5</f>
        <v/>
      </c>
      <c r="E25" s="21">
        <f>BreakEven!C6</f>
        <v/>
      </c>
      <c r="F25" s="21">
        <f>BreakEven!C7</f>
        <v/>
      </c>
    </row>
    <row r="26">
      <c r="B26" s="10" t="inlineStr">
        <is>
          <t>Payback month on the ramp</t>
        </is>
      </c>
      <c r="D26" s="22">
        <f>Ramp!C5</f>
        <v/>
      </c>
      <c r="E26" s="22">
        <f>Ramp!C6</f>
        <v/>
      </c>
      <c r="F26" s="22">
        <f>Ramp!C7</f>
        <v/>
      </c>
    </row>
    <row r="28" ht="15" customHeight="1">
      <c r="B28" s="23" t="inlineStr">
        <is>
          <t>How to read: Option A = EBANX direct at the baseline all-in cost (ESTIMATE until EBANX's quote replaces the baseline on Inputs). Option B = EBANX primary + dLocal second MoR through Yuno; its provider cost is the baseline minus the MDR reduction, plus Yuno's flat platform fee and usage in bps on the Net TPV above the included block. Levers: L1 MDR saving (100% contribution), L2 retries and routing, L3 local methods, L4 engineering saved. Contribution view nets the take rate and processing cost on incremental GMV. Yuno-wide figures used only as guardrails: 7% authorization uplift, 30% recovered revenue (y.uno).</t>
        </is>
      </c>
    </row>
    <row r="29"/>
    <row r="30"/>
    <row r="31"/>
  </sheetData>
  <mergeCells count="22">
    <mergeCell ref="B16:C16"/>
    <mergeCell ref="B7:C7"/>
    <mergeCell ref="B25:C25"/>
    <mergeCell ref="B22:C22"/>
    <mergeCell ref="A1:H1"/>
    <mergeCell ref="B18:C18"/>
    <mergeCell ref="B12:C12"/>
    <mergeCell ref="B21:C21"/>
    <mergeCell ref="B11:C11"/>
    <mergeCell ref="B23:C23"/>
    <mergeCell ref="B14:C14"/>
    <mergeCell ref="B17:C17"/>
    <mergeCell ref="B8:C8"/>
    <mergeCell ref="B13:C13"/>
    <mergeCell ref="A2:H2"/>
    <mergeCell ref="B10:C10"/>
    <mergeCell ref="B9:C9"/>
    <mergeCell ref="B24:C24"/>
    <mergeCell ref="B15:C15"/>
    <mergeCell ref="B20:C20"/>
    <mergeCell ref="B28:G31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5" customWidth="1" min="5" max="5"/>
    <col width="15" customWidth="1" min="6" max="6"/>
    <col width="88" customWidth="1" min="7" max="7"/>
    <col width="26" customWidth="1" min="8" max="8"/>
  </cols>
  <sheetData>
    <row r="1" ht="36" customHeight="1">
      <c r="A1" s="1" t="inlineStr">
        <is>
          <t>Carry1st x Yuno · LatAm Shop launch · Inputs (single source of truth)</t>
        </is>
      </c>
    </row>
    <row r="2" ht="15.75" customHeight="1">
      <c r="A2" s="2" t="inlineStr">
        <is>
          <t>Blue = input you can change. Yellow = ESTIMATE to validate. Green = linked. Every value carries its source or an ESTIMATE tag and an owner. USD only. 15 Oct 2026.</t>
        </is>
      </c>
    </row>
    <row r="3" ht="9.75" customHeight="1"/>
    <row r="4" ht="18" customHeight="1">
      <c r="B4" s="6" t="inlineStr">
        <is>
          <t>Assumption</t>
        </is>
      </c>
      <c r="C4" s="6" t="inlineStr">
        <is>
          <t>Unit</t>
        </is>
      </c>
      <c r="D4" s="6" t="inlineStr">
        <is>
          <t>Conservative</t>
        </is>
      </c>
      <c r="E4" s="6" t="inlineStr">
        <is>
          <t>Base</t>
        </is>
      </c>
      <c r="F4" s="6" t="inlineStr">
        <is>
          <t>Optimistic</t>
        </is>
      </c>
      <c r="G4" s="6" t="inlineStr">
        <is>
          <t>Source · tag</t>
        </is>
      </c>
      <c r="H4" s="6" t="inlineStr">
        <is>
          <t>Owner to validate</t>
        </is>
      </c>
    </row>
    <row r="5">
      <c r="B5" s="24" t="inlineStr">
        <is>
          <t>1 · Volume and ticket (Carry1st)</t>
        </is>
      </c>
      <c r="C5" s="25" t="n"/>
      <c r="D5" s="25" t="n"/>
      <c r="E5" s="25" t="n"/>
      <c r="F5" s="25" t="n"/>
      <c r="G5" s="25" t="n"/>
      <c r="H5" s="25" t="n"/>
    </row>
    <row r="6" ht="15" customHeight="1">
      <c r="B6" s="10" t="inlineStr">
        <is>
          <t>Average ticket</t>
        </is>
      </c>
      <c r="C6" s="26" t="inlineStr">
        <is>
          <t>USD</t>
        </is>
      </c>
      <c r="D6" s="27" t="n">
        <v>10</v>
      </c>
      <c r="E6" s="13">
        <f>D6</f>
        <v/>
      </c>
      <c r="F6" s="13">
        <f>D6</f>
        <v/>
      </c>
      <c r="G6" s="28" t="inlineStr">
        <is>
          <t>Carry1st, Cordel, discovery call 15 Oct 2026 (estimate). Drives TPV = transactions x ticket.</t>
        </is>
      </c>
      <c r="H6" s="28" t="inlineStr">
        <is>
          <t>Cordel (written volumes owed)</t>
        </is>
      </c>
    </row>
    <row r="7" ht="15" customHeight="1">
      <c r="B7" s="10" t="inlineStr">
        <is>
          <t>Median ticket (small-ticket sensitivity)</t>
        </is>
      </c>
      <c r="C7" s="26" t="inlineStr">
        <is>
          <t>USD</t>
        </is>
      </c>
      <c r="D7" s="27" t="n">
        <v>5</v>
      </c>
      <c r="E7" s="13">
        <f>D7</f>
        <v/>
      </c>
      <c r="F7" s="13">
        <f>D7</f>
        <v/>
      </c>
      <c r="G7" s="28" t="inlineStr">
        <is>
          <t>Carry1st, Cordel, 15 Oct 2026 (estimate). Used on the Pricing and Sensitivity sheets only.</t>
        </is>
      </c>
      <c r="H7" s="28" t="inlineStr">
        <is>
          <t>Cordel</t>
        </is>
      </c>
    </row>
    <row r="8" ht="30" customHeight="1">
      <c r="B8" s="10" t="inlineStr">
        <is>
          <t>Tier 1 · successful transactions a month (launch)</t>
        </is>
      </c>
      <c r="C8" s="26" t="inlineStr">
        <is>
          <t>tx</t>
        </is>
      </c>
      <c r="D8" s="29" t="n">
        <v>50000</v>
      </c>
      <c r="E8" s="30">
        <f>D8</f>
        <v/>
      </c>
      <c r="F8" s="30">
        <f>D8</f>
        <v/>
      </c>
      <c r="G8" s="28" t="inlineStr">
        <is>
          <t>Modeling tier agreed with Justo Benetti (CRO), 15 Oct 2026. Launch volume unknown; Cordel owes volumes by country.</t>
        </is>
      </c>
      <c r="H8" s="28" t="inlineStr">
        <is>
          <t>Cordel</t>
        </is>
      </c>
    </row>
    <row r="9" ht="15" customHeight="1">
      <c r="B9" s="10" t="inlineStr">
        <is>
          <t>Tier 2 · successful transactions a month</t>
        </is>
      </c>
      <c r="C9" s="26" t="inlineStr">
        <is>
          <t>tx</t>
        </is>
      </c>
      <c r="D9" s="29" t="n">
        <v>100000</v>
      </c>
      <c r="E9" s="30">
        <f>D9</f>
        <v/>
      </c>
      <c r="F9" s="30">
        <f>D9</f>
        <v/>
      </c>
      <c r="G9" s="28" t="inlineStr">
        <is>
          <t>Modeling tier (ramp step).</t>
        </is>
      </c>
      <c r="H9" s="28" t="inlineStr"/>
    </row>
    <row r="10" ht="15" customHeight="1">
      <c r="B10" s="10" t="inlineStr">
        <is>
          <t>Tier 3 · successful transactions a month</t>
        </is>
      </c>
      <c r="C10" s="26" t="inlineStr">
        <is>
          <t>tx</t>
        </is>
      </c>
      <c r="D10" s="29" t="n">
        <v>200000</v>
      </c>
      <c r="E10" s="30">
        <f>D10</f>
        <v/>
      </c>
      <c r="F10" s="30">
        <f>D10</f>
        <v/>
      </c>
      <c r="G10" s="28" t="inlineStr">
        <is>
          <t>Modeling tier (ramp step).</t>
        </is>
      </c>
      <c r="H10" s="28" t="inlineStr"/>
    </row>
    <row r="11" ht="30" customHeight="1">
      <c r="B11" s="10" t="inlineStr">
        <is>
          <t>Tier 4 · successful transactions a month (run rate)</t>
        </is>
      </c>
      <c r="C11" s="26" t="inlineStr">
        <is>
          <t>tx</t>
        </is>
      </c>
      <c r="D11" s="29" t="n">
        <v>450000</v>
      </c>
      <c r="E11" s="30">
        <f>D11</f>
        <v/>
      </c>
      <c r="F11" s="30">
        <f>D11</f>
        <v/>
      </c>
      <c r="G11" s="28" t="inlineStr">
        <is>
          <t>Carry1st estimate, Cordel, Oct 2026, not yet aligned internally: $4 to 5M a month in LatAm by end 2027, about 450K transactions at a $10 ticket.</t>
        </is>
      </c>
      <c r="H11" s="28" t="inlineStr">
        <is>
          <t>Cordel</t>
        </is>
      </c>
    </row>
    <row r="12" ht="30" customHeight="1">
      <c r="B12" s="10" t="inlineStr">
        <is>
          <t>Run-rate TPV a month (derived)</t>
        </is>
      </c>
      <c r="C12" s="26" t="inlineStr">
        <is>
          <t>USD</t>
        </is>
      </c>
      <c r="D12" s="11">
        <f>D11*D6</f>
        <v/>
      </c>
      <c r="E12" s="11">
        <f>D12</f>
        <v/>
      </c>
      <c r="F12" s="11">
        <f>D12</f>
        <v/>
      </c>
      <c r="G12" s="28" t="inlineStr">
        <is>
          <t>Derived: tier 4 x average ticket. Compare with Cordel's $4 to 5M a month (Carry1st estimate, Oct 2026).</t>
        </is>
      </c>
      <c r="H12" s="28" t="inlineStr"/>
    </row>
    <row r="13" ht="45" customHeight="1">
      <c r="B13" s="10" t="inlineStr">
        <is>
          <t>Carry1st take rate on GMV (contribution per $1 of ticket)</t>
        </is>
      </c>
      <c r="C13" s="26" t="inlineStr">
        <is>
          <t>%</t>
        </is>
      </c>
      <c r="D13" s="31" t="n">
        <v>0.15</v>
      </c>
      <c r="E13" s="32">
        <f>D13</f>
        <v/>
      </c>
      <c r="F13" s="32">
        <f>D13</f>
        <v/>
      </c>
      <c r="G13" s="28" t="inlineStr">
        <is>
          <t>ESTIMATE, TO VALIDATE with Cordel. Carry1st Shop resells third-party top-ups and gift cards, so its economics are a margin on GMV, not the full ticket. Public reseller benchmarks: 5 to 15% above wholesale for mainstream gift cards, 3 to 8% workable range on Google Play cards (marix.app guides, 2026).</t>
        </is>
      </c>
      <c r="H13" s="28" t="inlineStr">
        <is>
          <t>German with Cordel</t>
        </is>
      </c>
    </row>
    <row r="14" ht="30" customHeight="1">
      <c r="B14" s="10" t="inlineStr">
        <is>
          <t>Net incremental GMV of processing cost? (1 = yes, 0 = no)</t>
        </is>
      </c>
      <c r="C14" s="26" t="inlineStr">
        <is>
          <t>flag</t>
        </is>
      </c>
      <c r="D14" s="33" t="n">
        <v>1</v>
      </c>
      <c r="E14" s="34">
        <f>D14</f>
        <v/>
      </c>
      <c r="F14" s="34">
        <f>D14</f>
        <v/>
      </c>
      <c r="G14" s="28" t="inlineStr">
        <is>
          <t>Yuno modeling choice. With 1, contribution on incremental GMV = GMV x (take rate minus Option B all-in processing %). With 0, contribution = GMV x take rate (the simpler, higher view).</t>
        </is>
      </c>
      <c r="H14" s="28" t="inlineStr">
        <is>
          <t>German</t>
        </is>
      </c>
    </row>
    <row r="15">
      <c r="B15" s="24" t="inlineStr">
        <is>
          <t>2 · Baseline provider cost (EBANX direct, cross-border MoR all-in incl. FX and local taxes passed through)</t>
        </is>
      </c>
      <c r="C15" s="25" t="n"/>
      <c r="D15" s="25" t="n"/>
      <c r="E15" s="25" t="n"/>
      <c r="F15" s="25" t="n"/>
      <c r="G15" s="25" t="n"/>
      <c r="H15" s="25" t="n"/>
    </row>
    <row r="16" ht="45" customHeight="1">
      <c r="B16" s="10" t="inlineStr">
        <is>
          <t>Baseline provider all-in cost, % of TPV  &lt;&lt;&lt; REPLACE FIRST with EBANX's quote to Carry1st</t>
        </is>
      </c>
      <c r="C16" s="26" t="inlineStr">
        <is>
          <t>%</t>
        </is>
      </c>
      <c r="D16" s="35" t="n">
        <v>0.045</v>
      </c>
      <c r="E16" s="36">
        <f>D16</f>
        <v/>
      </c>
      <c r="F16" s="36">
        <f>D16</f>
        <v/>
      </c>
      <c r="G16" s="28" t="inlineStr">
        <is>
          <t>ESTIMATE, range 3 to 6% of TPV. Anchors: dLocal FY2025 revenue / TPV = 2.68% (2.92% in 2024), a blended figure across pay-ins, pay-outs and very large merchants, so a low anchor for a $0.5 to 4.5M a month digital-goods merchant (FXC Intelligence, 26 Mar 2026, on dLocal's results of 18 Mar 2026). EBANX reviewer: about 5% per transaction plus a $200 monthly fee (Capterra, Nov 2021). FX spread of 1 to 3% on top of processing (Nuvei, 2026). Brazil IOF on FX 3.5% (Decree 12,466/2025, PayPro Global).</t>
        </is>
      </c>
      <c r="H16" s="28" t="inlineStr">
        <is>
          <t>Cordel (EBANX quote) · Justo</t>
        </is>
      </c>
    </row>
    <row r="17" ht="15" customHeight="1">
      <c r="B17" s="10" t="inlineStr">
        <is>
          <t>Baseline provider cost · low end (sensitivity)</t>
        </is>
      </c>
      <c r="C17" s="26" t="inlineStr">
        <is>
          <t>%</t>
        </is>
      </c>
      <c r="D17" s="37" t="n">
        <v>0.03</v>
      </c>
      <c r="E17" s="36">
        <f>D17</f>
        <v/>
      </c>
      <c r="F17" s="36">
        <f>D17</f>
        <v/>
      </c>
      <c r="G17" s="28" t="inlineStr">
        <is>
          <t>Low end of the sourced range (dLocal blended take rate, large-merchant pricing).</t>
        </is>
      </c>
      <c r="H17" s="28" t="inlineStr"/>
    </row>
    <row r="18" ht="30" customHeight="1">
      <c r="B18" s="10" t="inlineStr">
        <is>
          <t>Baseline provider cost · high end (sensitivity)</t>
        </is>
      </c>
      <c r="C18" s="26" t="inlineStr">
        <is>
          <t>%</t>
        </is>
      </c>
      <c r="D18" s="37" t="n">
        <v>0.06</v>
      </c>
      <c r="E18" s="36">
        <f>D18</f>
        <v/>
      </c>
      <c r="F18" s="36">
        <f>D18</f>
        <v/>
      </c>
      <c r="G18" s="28" t="inlineStr">
        <is>
          <t>High end of the sourced range (small-ticket digital goods, FX spread and taxes passed through).</t>
        </is>
      </c>
      <c r="H18" s="28" t="inlineStr"/>
    </row>
    <row r="19">
      <c r="B19" s="24" t="inlineStr">
        <is>
          <t>3 · Lever 1 · MDR reduction with a second provider in play</t>
        </is>
      </c>
      <c r="C19" s="25" t="n"/>
      <c r="D19" s="25" t="n"/>
      <c r="E19" s="25" t="n"/>
      <c r="F19" s="25" t="n"/>
      <c r="G19" s="25" t="n"/>
      <c r="H19" s="25" t="n"/>
    </row>
    <row r="20" ht="45" customHeight="1">
      <c r="B20" s="10" t="inlineStr">
        <is>
          <t>MDR reduction on total TPV (second MoR in play + routing share to the cheaper route)</t>
        </is>
      </c>
      <c r="C20" s="26" t="inlineStr">
        <is>
          <t>bps</t>
        </is>
      </c>
      <c r="D20" s="38" t="n">
        <v>25</v>
      </c>
      <c r="E20" s="38" t="n">
        <v>50</v>
      </c>
      <c r="F20" s="38" t="n">
        <v>75</v>
      </c>
      <c r="G20" s="28" t="inlineStr">
        <is>
          <t>Yuno estimate. Brief from Justo Benetti, 15 Oct 2026. Reference ranges: multi-acquirer negotiating leverage 7.5 to 12.5 bps mid-market; cross-border to local reclassification about 60 bps (Yuno value model). 100% contribution: a cost saving, not a GMV effect.</t>
        </is>
      </c>
      <c r="H20" s="28" t="inlineStr">
        <is>
          <t>Justo · EBANX and dLocal rates through Yuno (open)</t>
        </is>
      </c>
    </row>
    <row r="21">
      <c r="B21" s="24" t="inlineStr">
        <is>
          <t>4 · Lever 2 · Retries and routing recovery</t>
        </is>
      </c>
      <c r="C21" s="25" t="n"/>
      <c r="D21" s="25" t="n"/>
      <c r="E21" s="25" t="n"/>
      <c r="F21" s="25" t="n"/>
      <c r="G21" s="25" t="n"/>
      <c r="H21" s="25" t="n"/>
    </row>
    <row r="22" ht="45" customHeight="1">
      <c r="B22" s="10" t="inlineStr">
        <is>
          <t>Baseline approval rate on a single MoR route (blended methods)</t>
        </is>
      </c>
      <c r="C22" s="26" t="inlineStr">
        <is>
          <t>%</t>
        </is>
      </c>
      <c r="D22" s="31" t="n">
        <v>0.75</v>
      </c>
      <c r="E22" s="32">
        <f>D22</f>
        <v/>
      </c>
      <c r="F22" s="32">
        <f>D22</f>
        <v/>
      </c>
      <c r="G22" s="28" t="inlineStr">
        <is>
          <t>ESTIMATE, range 70 to 85%. Public anchors: Mexico local acquiring 80%+ vs cross-border 50 to 60% (Nuvei, 2026); Brazil cross-border card authorization under 60% vs 90%+ on local rails (Antom, 2025); approval gap of 10 to 20 points by processing setup (Rapyd LatAm playbook, May 2026). A MoR processes locally, so 75% sits between the cross-border and local figures.</t>
        </is>
      </c>
      <c r="H22" s="28" t="inlineStr">
        <is>
          <t>Cordel (Saudi/Africa approval as proxy) · EBANX</t>
        </is>
      </c>
    </row>
    <row r="23" ht="45" customHeight="1">
      <c r="B23" s="10" t="inlineStr">
        <is>
          <t>Approval uplift on attempted volume (soft-decline retries, outage failover, second-provider retry)</t>
        </is>
      </c>
      <c r="C23" s="26" t="inlineStr">
        <is>
          <t>pp</t>
        </is>
      </c>
      <c r="D23" s="31" t="n">
        <v>0.015</v>
      </c>
      <c r="E23" s="31" t="n">
        <v>0.03</v>
      </c>
      <c r="F23" s="31" t="n">
        <v>0.05</v>
      </c>
      <c r="G23" s="28" t="inlineStr">
        <is>
          <t>Yuno estimate. Ceiling = Yuno published 7% authorization uplift (y.uno); the optimistic case stays below it. Soft declines are 80 to 90% of failed payments (Paddle); 20 to 40% of soft declines are recoverable with retries (vendor benchmarks, 2025). On a 75% baseline that supports 4 to 8 points; the model uses 1.5 / 3 / 5.</t>
        </is>
      </c>
      <c r="H23" s="28" t="inlineStr">
        <is>
          <t>Yuno (routing data after launch)</t>
        </is>
      </c>
    </row>
    <row r="24">
      <c r="B24" s="24" t="inlineStr">
        <is>
          <t>5 · Lever 3 · Local-method coverage uplift</t>
        </is>
      </c>
      <c r="C24" s="25" t="n"/>
      <c r="D24" s="25" t="n"/>
      <c r="E24" s="25" t="n"/>
      <c r="F24" s="25" t="n"/>
      <c r="G24" s="25" t="n"/>
      <c r="H24" s="25" t="n"/>
    </row>
    <row r="25" ht="45" customHeight="1">
      <c r="B25" s="10" t="inlineStr">
        <is>
          <t>Incremental GMV from local methods the single-provider route lacks, % of TPV</t>
        </is>
      </c>
      <c r="C25" s="26" t="inlineStr">
        <is>
          <t>%</t>
        </is>
      </c>
      <c r="D25" s="31" t="n">
        <v>0.005</v>
      </c>
      <c r="E25" s="31" t="n">
        <v>0.01</v>
      </c>
      <c r="F25" s="31" t="n">
        <v>0.02</v>
      </c>
      <c r="G25" s="28" t="inlineStr">
        <is>
          <t>ESTIMATE. Methods carried through Yuno via dLocal and not on the EBANX connection (docs.y.uno Payment Type list, 14 Oct 2026): Argentina MODO, Rapipago, Pago Facil; Colombia Bre-B, Nequi, PSE, Efecty; Bolivia Multipago, Pago al Paso; Mexico CoDi, Paynet, 7-Eleven. Context: Pix = 42% of Brazil e-commerce value in 2025 (Worldpay GPR 2026 via Poder360); account-to-account 15% and wallets 39% of Argentina e-commerce value 2025 (GPR 2026 via LetsMoney); QR = 36% of payments in Bolivia in 2025 (Banco Central de Bolivia via Los Tiempos, Jun 2026). EBANX direct coverage per country TO VALIDATE against its quote.</t>
        </is>
      </c>
      <c r="H25" s="28" t="inlineStr">
        <is>
          <t>German · research agent (coverage)</t>
        </is>
      </c>
    </row>
    <row r="26">
      <c r="B26" s="24" t="inlineStr">
        <is>
          <t>6 · Lever 4 · Engineering saved (one integration for five countries)</t>
        </is>
      </c>
      <c r="C26" s="25" t="n"/>
      <c r="D26" s="25" t="n"/>
      <c r="E26" s="25" t="n"/>
      <c r="F26" s="25" t="n"/>
      <c r="G26" s="25" t="n"/>
      <c r="H26" s="25" t="n"/>
    </row>
    <row r="27" ht="45" customHeight="1">
      <c r="B27" s="10" t="inlineStr">
        <is>
          <t>Direct integrations avoided over the horizon (dLocal as second provider, then local-entity processors)</t>
        </is>
      </c>
      <c r="C27" s="26" t="inlineStr">
        <is>
          <t>count</t>
        </is>
      </c>
      <c r="D27" s="38" t="n">
        <v>1</v>
      </c>
      <c r="E27" s="38" t="n">
        <v>2</v>
      </c>
      <c r="F27" s="38" t="n">
        <v>3</v>
      </c>
      <c r="G27" s="28" t="inlineStr">
        <is>
          <t>Yuno estimate. Option A needs a second direct integration (dLocal) for failover and leverage, then re-integration to local processors when Phase 2 (local entities) lands. Under Option B each is a routing change. The launch integration itself is not counted (both options need one).</t>
        </is>
      </c>
      <c r="H27" s="28" t="inlineStr">
        <is>
          <t>Fatih (Carry1st tech)</t>
        </is>
      </c>
    </row>
    <row r="28" ht="45" customHeight="1">
      <c r="B28" s="10" t="inlineStr">
        <is>
          <t>Engineer-weeks per direct PSP integration (build, certification, QA)</t>
        </is>
      </c>
      <c r="C28" s="26" t="inlineStr">
        <is>
          <t>weeks</t>
        </is>
      </c>
      <c r="D28" s="38" t="n">
        <v>4</v>
      </c>
      <c r="E28" s="38" t="n">
        <v>6</v>
      </c>
      <c r="F28" s="38" t="n">
        <v>8</v>
      </c>
      <c r="G28" s="28" t="inlineStr">
        <is>
          <t>Server-to-server PSP integration 4 to 8 weeks; orchestration or direct acquiring 8 to 12+ weeks (spd.tech, 2026). Razorpay: 2 to 3 developer-weeks per gateway for code alone (dev.to, 2025). Gateway migration 2 to 4 weeks (mctaba.com).</t>
        </is>
      </c>
      <c r="H28" s="28" t="inlineStr">
        <is>
          <t>Fatih</t>
        </is>
      </c>
    </row>
    <row r="29" ht="45" customHeight="1">
      <c r="B29" s="10" t="inlineStr">
        <is>
          <t>Loaded cost per engineer-week</t>
        </is>
      </c>
      <c r="C29" s="26" t="inlineStr">
        <is>
          <t>USD</t>
        </is>
      </c>
      <c r="D29" s="39" t="n">
        <v>2000</v>
      </c>
      <c r="E29" s="11">
        <f>D29</f>
        <v/>
      </c>
      <c r="F29" s="11">
        <f>D29</f>
        <v/>
      </c>
      <c r="G29" s="28" t="inlineStr">
        <is>
          <t>ESTIMATE, about $104K a year loaded. Sits between Cape Town senior engineer market pay (PayScale, 2026; Carry1st engineers are in Cape Town) and LatAm loaded cost of $87.5K to $100.8K a year (Second Talent, 2026); US fully loaded is $200K to $280K (Revelo, 2026).</t>
        </is>
      </c>
      <c r="H29" s="28" t="inlineStr">
        <is>
          <t>Fatih</t>
        </is>
      </c>
    </row>
    <row r="30" ht="15" customHeight="1">
      <c r="B30" s="10" t="inlineStr">
        <is>
          <t>Annual maintenance, % of build cost per integration</t>
        </is>
      </c>
      <c r="C30" s="26" t="inlineStr">
        <is>
          <t>%</t>
        </is>
      </c>
      <c r="D30" s="31" t="n">
        <v>0.2</v>
      </c>
      <c r="E30" s="31" t="n">
        <v>0.25</v>
      </c>
      <c r="F30" s="31" t="n">
        <v>0.3</v>
      </c>
      <c r="G30" s="28" t="inlineStr">
        <is>
          <t>Yuno estimate; 20 to 30% upkeep is the convention used in Yuno business cases (Oct 2026).</t>
        </is>
      </c>
      <c r="H30" s="28" t="inlineStr"/>
    </row>
    <row r="31" ht="30" customHeight="1">
      <c r="B31" s="10" t="inlineStr">
        <is>
          <t>Horizon to spread one-time engineering (months)</t>
        </is>
      </c>
      <c r="C31" s="26" t="inlineStr">
        <is>
          <t>months</t>
        </is>
      </c>
      <c r="D31" s="33" t="n">
        <v>24</v>
      </c>
      <c r="E31" s="34">
        <f>D31</f>
        <v/>
      </c>
      <c r="F31" s="34">
        <f>D31</f>
        <v/>
      </c>
      <c r="G31" s="28" t="inlineStr">
        <is>
          <t>Yuno modeling choice: build cost plus maintenance spread over 24 months, shown as a monthly equivalent.</t>
        </is>
      </c>
      <c r="H31" s="28" t="inlineStr"/>
    </row>
    <row r="32">
      <c r="B32" s="24" t="inlineStr">
        <is>
          <t>7 · Yuno cost line (the proposal, pricing v4: bps on monthly Net TPV)</t>
        </is>
      </c>
      <c r="C32" s="25" t="n"/>
      <c r="D32" s="25" t="n"/>
      <c r="E32" s="25" t="n"/>
      <c r="F32" s="25" t="n"/>
      <c r="G32" s="25" t="n"/>
      <c r="H32" s="25" t="n"/>
    </row>
    <row r="33" ht="30" customHeight="1">
      <c r="B33" s="10" t="inlineStr">
        <is>
          <t>Platform fee a month (flat)</t>
        </is>
      </c>
      <c r="C33" s="26" t="inlineStr">
        <is>
          <t>USD</t>
        </is>
      </c>
      <c r="D33" s="40" t="n">
        <v>7500</v>
      </c>
      <c r="E33" s="11">
        <f>D33</f>
        <v/>
      </c>
      <c r="F33" s="11">
        <f>D33</f>
        <v/>
      </c>
      <c r="G33" s="28" t="inlineStr">
        <is>
          <t>Justo Benetti, 15 Oct 2026: $7,500 a month flat platform fee that includes a block of monthly Net TPV. Net TPV = successful transactions only, no declines, no chargebacks.</t>
        </is>
      </c>
      <c r="H33" s="28" t="inlineStr">
        <is>
          <t>Justo · Finance (approval pending)</t>
        </is>
      </c>
    </row>
    <row r="34" ht="45" customHeight="1">
      <c r="B34" s="10" t="inlineStr">
        <is>
          <t>Monthly Net TPV included in the platform fee (single month, no rollover)</t>
        </is>
      </c>
      <c r="C34" s="26" t="inlineStr">
        <is>
          <t>USD</t>
        </is>
      </c>
      <c r="D34" s="40" t="n">
        <v>500000</v>
      </c>
      <c r="E34" s="11">
        <f>D34</f>
        <v/>
      </c>
      <c r="F34" s="11">
        <f>D34</f>
        <v/>
      </c>
      <c r="G34" s="28" t="inlineStr">
        <is>
          <t>Pricing v4, German's decision, 15 Oct 2026. Justo's rule: pay-ins are billed in bps on TPV, so the included block is in TPV, never in transactions (units must match). At a $10 ticket this block is about 50,000 transactions; at $5, about 100,000.</t>
        </is>
      </c>
      <c r="H34" s="28" t="inlineStr">
        <is>
          <t>Justo · Finance</t>
        </is>
      </c>
    </row>
    <row r="35" ht="15" customHeight="1">
      <c r="B35" s="10" t="inlineStr">
        <is>
          <t>Tranche 1 · monthly Net TPV ceiling</t>
        </is>
      </c>
      <c r="C35" s="26" t="inlineStr">
        <is>
          <t>USD</t>
        </is>
      </c>
      <c r="D35" s="40" t="n">
        <v>2000000</v>
      </c>
      <c r="E35" s="11">
        <f>D35</f>
        <v/>
      </c>
      <c r="F35" s="11">
        <f>D35</f>
        <v/>
      </c>
      <c r="G35" s="28" t="inlineStr">
        <is>
          <t>Proposal (ladder: each tranche applies only to the Net TPV inside it).</t>
        </is>
      </c>
      <c r="H35" s="28" t="inlineStr">
        <is>
          <t>Justo</t>
        </is>
      </c>
    </row>
    <row r="36" ht="15" customHeight="1">
      <c r="B36" s="10" t="inlineStr">
        <is>
          <t>Tranche 1 · usage rate on Net TPV above the included block</t>
        </is>
      </c>
      <c r="C36" s="26" t="inlineStr">
        <is>
          <t>%</t>
        </is>
      </c>
      <c r="D36" s="37" t="n">
        <v>0.004</v>
      </c>
      <c r="E36" s="36">
        <f>D36</f>
        <v/>
      </c>
      <c r="F36" s="36">
        <f>D36</f>
        <v/>
      </c>
      <c r="G36" s="28" t="inlineStr">
        <is>
          <t>Proposal: 40 bps. At a $10 ticket this is $0.040 per successful transaction; at $5, $0.020.</t>
        </is>
      </c>
      <c r="H36" s="28" t="inlineStr">
        <is>
          <t>Justo · Finance</t>
        </is>
      </c>
    </row>
    <row r="37" ht="15" customHeight="1">
      <c r="B37" s="10" t="inlineStr">
        <is>
          <t>Tranche 2 · monthly Net TPV ceiling</t>
        </is>
      </c>
      <c r="C37" s="26" t="inlineStr">
        <is>
          <t>USD</t>
        </is>
      </c>
      <c r="D37" s="40" t="n">
        <v>5000000</v>
      </c>
      <c r="E37" s="11">
        <f>D37</f>
        <v/>
      </c>
      <c r="F37" s="11">
        <f>D37</f>
        <v/>
      </c>
      <c r="G37" s="28" t="inlineStr">
        <is>
          <t>Proposal.</t>
        </is>
      </c>
      <c r="H37" s="28" t="inlineStr">
        <is>
          <t>Justo</t>
        </is>
      </c>
    </row>
    <row r="38" ht="15" customHeight="1">
      <c r="B38" s="10" t="inlineStr">
        <is>
          <t>Tranche 2 · usage rate</t>
        </is>
      </c>
      <c r="C38" s="26" t="inlineStr">
        <is>
          <t>%</t>
        </is>
      </c>
      <c r="D38" s="37" t="n">
        <v>0.003</v>
      </c>
      <c r="E38" s="36">
        <f>D38</f>
        <v/>
      </c>
      <c r="F38" s="36">
        <f>D38</f>
        <v/>
      </c>
      <c r="G38" s="28" t="inlineStr">
        <is>
          <t>Proposal: 30 bps. $0.030 per transaction at a $10 ticket; $0.015 at $5.</t>
        </is>
      </c>
      <c r="H38" s="28" t="inlineStr">
        <is>
          <t>Justo · Finance</t>
        </is>
      </c>
    </row>
    <row r="39" ht="15" customHeight="1">
      <c r="B39" s="10" t="inlineStr">
        <is>
          <t>Tranche 3 · monthly Net TPV ceiling</t>
        </is>
      </c>
      <c r="C39" s="26" t="inlineStr">
        <is>
          <t>USD</t>
        </is>
      </c>
      <c r="D39" s="40" t="n">
        <v>10000000</v>
      </c>
      <c r="E39" s="11">
        <f>D39</f>
        <v/>
      </c>
      <c r="F39" s="11">
        <f>D39</f>
        <v/>
      </c>
      <c r="G39" s="28" t="inlineStr">
        <is>
          <t>Proposal.</t>
        </is>
      </c>
      <c r="H39" s="28" t="inlineStr">
        <is>
          <t>Justo</t>
        </is>
      </c>
    </row>
    <row r="40" ht="15" customHeight="1">
      <c r="B40" s="10" t="inlineStr">
        <is>
          <t>Tranche 3 · usage rate</t>
        </is>
      </c>
      <c r="C40" s="26" t="inlineStr">
        <is>
          <t>%</t>
        </is>
      </c>
      <c r="D40" s="37" t="n">
        <v>0.002</v>
      </c>
      <c r="E40" s="36">
        <f>D40</f>
        <v/>
      </c>
      <c r="F40" s="36">
        <f>D40</f>
        <v/>
      </c>
      <c r="G40" s="28" t="inlineStr">
        <is>
          <t>Proposal: 20 bps. $0.020 per transaction at a $10 ticket; $0.010 at $5.</t>
        </is>
      </c>
      <c r="H40" s="28" t="inlineStr">
        <is>
          <t>Justo · Finance</t>
        </is>
      </c>
    </row>
    <row r="41" ht="15" customHeight="1">
      <c r="B41" s="10" t="inlineStr">
        <is>
          <t>Tranche 4 · usage rate above tranche 3</t>
        </is>
      </c>
      <c r="C41" s="26" t="inlineStr">
        <is>
          <t>%</t>
        </is>
      </c>
      <c r="D41" s="37" t="n">
        <v>0.001</v>
      </c>
      <c r="E41" s="36">
        <f>D41</f>
        <v/>
      </c>
      <c r="F41" s="36">
        <f>D41</f>
        <v/>
      </c>
      <c r="G41" s="28" t="inlineStr">
        <is>
          <t>Proposal: 10 bps. $0.010 per transaction at a $10 ticket; $0.005 at $5.</t>
        </is>
      </c>
      <c r="H41" s="28" t="inlineStr">
        <is>
          <t>Justo · Finance</t>
        </is>
      </c>
    </row>
    <row r="42" ht="15" customHeight="1">
      <c r="B42" s="10" t="inlineStr">
        <is>
          <t>Hypothetical fixed fee A (comparison only)</t>
        </is>
      </c>
      <c r="C42" s="26" t="inlineStr">
        <is>
          <t>USD/tx</t>
        </is>
      </c>
      <c r="D42" s="41" t="n">
        <v>0.05</v>
      </c>
      <c r="E42" s="42">
        <f>D42</f>
        <v/>
      </c>
      <c r="F42" s="42">
        <f>D42</f>
        <v/>
      </c>
      <c r="G42" s="28" t="inlineStr">
        <is>
          <t>Illustrative fixed per-transaction fee for the small-ticket argument. Not a Yuno quote.</t>
        </is>
      </c>
      <c r="H42" s="28" t="inlineStr"/>
    </row>
    <row r="43" ht="15" customHeight="1">
      <c r="B43" s="10" t="inlineStr">
        <is>
          <t>Hypothetical fixed fee B (comparison only)</t>
        </is>
      </c>
      <c r="C43" s="26" t="inlineStr">
        <is>
          <t>USD/tx</t>
        </is>
      </c>
      <c r="D43" s="41" t="n">
        <v>0.1</v>
      </c>
      <c r="E43" s="42">
        <f>D43</f>
        <v/>
      </c>
      <c r="F43" s="42">
        <f>D43</f>
        <v/>
      </c>
      <c r="G43" s="28" t="inlineStr">
        <is>
          <t>Illustrative fixed per-transaction fee for the small-ticket argument. Not a Yuno quote.</t>
        </is>
      </c>
      <c r="H43" s="28" t="inlineStr"/>
    </row>
    <row r="44">
      <c r="B44" s="24" t="inlineStr">
        <is>
          <t>8 · Ramp (for payback)</t>
        </is>
      </c>
      <c r="C44" s="25" t="n"/>
      <c r="D44" s="25" t="n"/>
      <c r="E44" s="25" t="n"/>
      <c r="F44" s="25" t="n"/>
      <c r="G44" s="25" t="n"/>
      <c r="H44" s="25" t="n"/>
    </row>
    <row r="45" ht="30" customHeight="1">
      <c r="B45" s="10" t="inlineStr">
        <is>
          <t>Ramp months, Dec 2026 (Black Friday launch) to Dec 2027</t>
        </is>
      </c>
      <c r="C45" s="26" t="inlineStr">
        <is>
          <t>months</t>
        </is>
      </c>
      <c r="D45" s="38" t="n">
        <v>13</v>
      </c>
      <c r="E45" s="34">
        <f>D45</f>
        <v/>
      </c>
      <c r="F45" s="34">
        <f>D45</f>
        <v/>
      </c>
      <c r="G45" s="28" t="inlineStr">
        <is>
          <t>Yuno ESTIMATE: linear ramp from tier 1 at launch to tier 4 by end 2027 (Cordel's run-rate date). Replace with Cordel's written projections by country.</t>
        </is>
      </c>
      <c r="H45" s="28" t="inlineStr">
        <is>
          <t>Cordel</t>
        </is>
      </c>
    </row>
    <row r="46">
      <c r="B46" s="24" t="inlineStr">
        <is>
          <t>9 · INTERNAL launch lever (switch, default 0 = off; delete this section before the file leaves Yuno)</t>
        </is>
      </c>
      <c r="C46" s="25" t="n"/>
      <c r="D46" s="25" t="n"/>
      <c r="E46" s="25" t="n"/>
      <c r="F46" s="25" t="n"/>
      <c r="G46" s="25" t="n"/>
      <c r="H46" s="25" t="n"/>
    </row>
    <row r="47" ht="30" customHeight="1">
      <c r="B47" s="10" t="inlineStr">
        <is>
          <t>Launch credit switch (1 = on, 0 = off)</t>
        </is>
      </c>
      <c r="C47" s="26" t="inlineStr">
        <is>
          <t>flag</t>
        </is>
      </c>
      <c r="D47" s="33" t="n">
        <v>0</v>
      </c>
      <c r="E47" s="34">
        <f>D47</f>
        <v/>
      </c>
      <c r="F47" s="34">
        <f>D47</f>
        <v/>
      </c>
      <c r="G47" s="28" t="inlineStr">
        <is>
          <t>INTERNAL. Optional lever: a monthly credit against the platform fee for the first months after the 1 Dec 2026 billing start. Applies on the Ramp sheet only. Never on the customer slide.</t>
        </is>
      </c>
      <c r="H47" s="28" t="inlineStr">
        <is>
          <t>Justo · Finance</t>
        </is>
      </c>
    </row>
    <row r="48" ht="30" customHeight="1">
      <c r="B48" s="10" t="inlineStr">
        <is>
          <t>Monthly credit against the platform fee when the switch is on</t>
        </is>
      </c>
      <c r="C48" s="26" t="inlineStr">
        <is>
          <t>USD</t>
        </is>
      </c>
      <c r="D48" s="40" t="n">
        <v>3750</v>
      </c>
      <c r="E48" s="11">
        <f>D48</f>
        <v/>
      </c>
      <c r="F48" s="11">
        <f>D48</f>
        <v/>
      </c>
      <c r="G48" s="28" t="inlineStr">
        <is>
          <t>INTERNAL. Credits are allowed against the platform fee only, for named months, written in the contract, no rollover.</t>
        </is>
      </c>
      <c r="H48" s="28" t="inlineStr">
        <is>
          <t>Justo · Finance</t>
        </is>
      </c>
    </row>
    <row r="49" ht="15" customHeight="1">
      <c r="B49" s="10" t="inlineStr">
        <is>
          <t>Months the credit applies (from the billing start)</t>
        </is>
      </c>
      <c r="C49" s="26" t="inlineStr">
        <is>
          <t>months</t>
        </is>
      </c>
      <c r="D49" s="33" t="n">
        <v>3</v>
      </c>
      <c r="E49" s="34">
        <f>D49</f>
        <v/>
      </c>
      <c r="F49" s="34">
        <f>D49</f>
        <v/>
      </c>
      <c r="G49" s="28" t="inlineStr">
        <is>
          <t>INTERNAL. Dec 2026 to Feb 2027.</t>
        </is>
      </c>
      <c r="H49" s="28" t="inlineStr">
        <is>
          <t>Justo · Finance</t>
        </is>
      </c>
    </row>
    <row r="51">
      <c r="B51" s="43" t="inlineStr">
        <is>
          <t>Published Yuno figures used as guardrails only (never as inputs): 7% authorization uplift and 30% recovered revenue (y.uno). Treat 7% as the ceiling for the optimistic case.</t>
        </is>
      </c>
    </row>
    <row r="52">
      <c r="B52" s="43" t="inlineStr">
        <is>
          <t>Labels: CONFIRMED (docs.y.uno or y.uno) · PUBLIC DOCS (third-party page, dated) · OPEN (not confirmed in writing, with owner) · ESTIMATE (modeled; assumption stated) · Carry1st estimate (Cordel, Oct 2026).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6" customHeight="1">
      <c r="A1" s="1" t="inlineStr">
        <is>
          <t>Pricing · Yuno proposal: $7,500 a month flat including the first block of monthly Net TPV, usage above it in bps on Net TPV (ladder)</t>
        </is>
      </c>
    </row>
    <row r="2" ht="15.75" customHeight="1">
      <c r="A2" s="2" t="inlineStr">
        <is>
          <t>Billable event = successful transaction. Net TPV = successful transactions only, no declines, no chargebacks. Each tranche applies only to the Net TPV inside it. Add-ons (network tokens, 3DS) billed on usage and not in these totals.</t>
        </is>
      </c>
    </row>
    <row r="3" ht="9.75" customHeight="1"/>
    <row r="4" ht="18" customHeight="1">
      <c r="A4" s="6" t="inlineStr">
        <is>
          <t>Proposal terms</t>
        </is>
      </c>
    </row>
    <row r="5">
      <c r="A5" s="10" t="inlineStr">
        <is>
          <t>Platform fee a month (flat)</t>
        </is>
      </c>
      <c r="B5" s="44">
        <f>Inputs!$E$33</f>
        <v/>
      </c>
    </row>
    <row r="6">
      <c r="A6" s="10" t="inlineStr">
        <is>
          <t>Monthly Net TPV included in the platform fee</t>
        </is>
      </c>
      <c r="B6" s="44">
        <f>Inputs!$E$34</f>
        <v/>
      </c>
    </row>
    <row r="7">
      <c r="A7" s="10" t="inlineStr">
        <is>
          <t>Tranche 1 · Net TPV ceiling</t>
        </is>
      </c>
      <c r="B7" s="44">
        <f>Inputs!$E$35</f>
        <v/>
      </c>
    </row>
    <row r="8">
      <c r="A8" s="10" t="inlineStr">
        <is>
          <t>Tranche 1 · rate</t>
        </is>
      </c>
      <c r="B8" s="45">
        <f>Inputs!$E$36</f>
        <v/>
      </c>
    </row>
    <row r="9">
      <c r="A9" s="10" t="inlineStr">
        <is>
          <t>Tranche 2 · Net TPV ceiling</t>
        </is>
      </c>
      <c r="B9" s="44">
        <f>Inputs!$E$37</f>
        <v/>
      </c>
    </row>
    <row r="10">
      <c r="A10" s="10" t="inlineStr">
        <is>
          <t>Tranche 2 · rate</t>
        </is>
      </c>
      <c r="B10" s="45">
        <f>Inputs!$E$38</f>
        <v/>
      </c>
    </row>
    <row r="11">
      <c r="A11" s="10" t="inlineStr">
        <is>
          <t>Tranche 3 · Net TPV ceiling</t>
        </is>
      </c>
      <c r="B11" s="44">
        <f>Inputs!$E$39</f>
        <v/>
      </c>
    </row>
    <row r="12">
      <c r="A12" s="10" t="inlineStr">
        <is>
          <t>Tranche 3 · rate</t>
        </is>
      </c>
      <c r="B12" s="45">
        <f>Inputs!$E$40</f>
        <v/>
      </c>
    </row>
    <row r="13">
      <c r="A13" s="10" t="inlineStr">
        <is>
          <t>Tranche 4 · rate above tranche 3</t>
        </is>
      </c>
      <c r="B13" s="45">
        <f>Inputs!$E$41</f>
        <v/>
      </c>
    </row>
    <row r="14">
      <c r="A14" s="10" t="inlineStr">
        <is>
          <t>Included block, transactions at the average ticket</t>
        </is>
      </c>
      <c r="B14" s="46">
        <f>Inputs!$E$34/Inputs!$E$6</f>
        <v/>
      </c>
    </row>
    <row r="15">
      <c r="A15" s="10" t="inlineStr">
        <is>
          <t>Tranche 1 rate, $ per transaction at the average ticket</t>
        </is>
      </c>
      <c r="B15" s="47">
        <f>Inputs!$E$36*Inputs!$E$6</f>
        <v/>
      </c>
    </row>
    <row r="16">
      <c r="A16" s="10" t="inlineStr">
        <is>
          <t>Tranche 2 rate, $ per transaction at the average ticket</t>
        </is>
      </c>
      <c r="B16" s="47">
        <f>Inputs!$E$38*Inputs!$E$6</f>
        <v/>
      </c>
    </row>
    <row r="17">
      <c r="A17" s="10" t="inlineStr">
        <is>
          <t>Tranche 3 rate, $ per transaction at the average ticket</t>
        </is>
      </c>
      <c r="B17" s="47">
        <f>Inputs!$E$40*Inputs!$E$6</f>
        <v/>
      </c>
    </row>
    <row r="18">
      <c r="A18" s="10" t="inlineStr">
        <is>
          <t>Tranche 4 rate, $ per transaction at the average ticket</t>
        </is>
      </c>
      <c r="B18" s="47">
        <f>Inputs!$E$41*Inputs!$E$6</f>
        <v/>
      </c>
    </row>
    <row r="19">
      <c r="A19" s="10" t="inlineStr">
        <is>
          <t>Tranche 1 rate, $ per transaction at the median ticket</t>
        </is>
      </c>
      <c r="B19" s="47">
        <f>Inputs!$E$36*Inputs!$E$7</f>
        <v/>
      </c>
    </row>
    <row r="20">
      <c r="A20" s="10" t="inlineStr">
        <is>
          <t>Tranche 2 rate, $ per transaction at the median ticket</t>
        </is>
      </c>
      <c r="B20" s="47">
        <f>Inputs!$E$38*Inputs!$E$7</f>
        <v/>
      </c>
    </row>
    <row r="21">
      <c r="A21" s="10" t="inlineStr">
        <is>
          <t>Tranche 3 rate, $ per transaction at the median ticket</t>
        </is>
      </c>
      <c r="B21" s="47">
        <f>Inputs!$E$40*Inputs!$E$7</f>
        <v/>
      </c>
    </row>
    <row r="22">
      <c r="A22" s="10" t="inlineStr">
        <is>
          <t>Tranche 4 rate, $ per transaction at the median ticket</t>
        </is>
      </c>
      <c r="B22" s="47">
        <f>Inputs!$E$41*Inputs!$E$7</f>
        <v/>
      </c>
    </row>
    <row r="24" ht="18" customHeight="1">
      <c r="A24" s="19" t="inlineStr">
        <is>
          <t>What it means for Carry1st at the AVERAGE ticket ($10)</t>
        </is>
      </c>
    </row>
    <row r="25" ht="18" customHeight="1">
      <c r="A25" s="6" t="inlineStr">
        <is>
          <t>Line</t>
        </is>
      </c>
      <c r="B25" s="7">
        <f>Inputs!$E$8</f>
        <v/>
      </c>
      <c r="C25" s="7">
        <f>Inputs!$E$9</f>
        <v/>
      </c>
      <c r="D25" s="7">
        <f>Inputs!$E$10</f>
        <v/>
      </c>
      <c r="E25" s="7">
        <f>Inputs!$E$11</f>
        <v/>
      </c>
    </row>
    <row r="26">
      <c r="A26" s="10" t="inlineStr">
        <is>
          <t>Successful transactions a month</t>
        </is>
      </c>
      <c r="B26" s="48">
        <f>Inputs!$E$8</f>
        <v/>
      </c>
      <c r="C26" s="48">
        <f>Inputs!$E$9</f>
        <v/>
      </c>
      <c r="D26" s="48">
        <f>Inputs!$E$10</f>
        <v/>
      </c>
      <c r="E26" s="48">
        <f>Inputs!$E$11</f>
        <v/>
      </c>
    </row>
    <row r="27">
      <c r="A27" s="10" t="inlineStr">
        <is>
          <t>Net TPV a month</t>
        </is>
      </c>
      <c r="B27" s="11">
        <f>B26*Inputs!$E$6</f>
        <v/>
      </c>
      <c r="C27" s="11">
        <f>C26*Inputs!$E$6</f>
        <v/>
      </c>
      <c r="D27" s="11">
        <f>D26*Inputs!$E$6</f>
        <v/>
      </c>
      <c r="E27" s="11">
        <f>E26*Inputs!$E$6</f>
        <v/>
      </c>
    </row>
    <row r="28">
      <c r="A28" s="10" t="inlineStr">
        <is>
          <t>Net TPV inside the included block</t>
        </is>
      </c>
      <c r="B28" s="9">
        <f>MIN(B27,Inputs!$E$34)</f>
        <v/>
      </c>
      <c r="C28" s="9">
        <f>MIN(C27,Inputs!$E$34)</f>
        <v/>
      </c>
      <c r="D28" s="9">
        <f>MIN(D27,Inputs!$E$34)</f>
        <v/>
      </c>
      <c r="E28" s="9">
        <f>MIN(E27,Inputs!$E$34)</f>
        <v/>
      </c>
    </row>
    <row r="29">
      <c r="A29" s="10" t="inlineStr">
        <is>
          <t>Billable Net TPV · tranche 1</t>
        </is>
      </c>
      <c r="B29" s="11">
        <f>MAX(0,MIN(B27,Inputs!$E$35)-MAX(0,B28))</f>
        <v/>
      </c>
      <c r="C29" s="11">
        <f>MAX(0,MIN(C27,Inputs!$E$35)-MAX(0,C28))</f>
        <v/>
      </c>
      <c r="D29" s="11">
        <f>MAX(0,MIN(D27,Inputs!$E$35)-MAX(0,D28))</f>
        <v/>
      </c>
      <c r="E29" s="11">
        <f>MAX(0,MIN(E27,Inputs!$E$35)-MAX(0,E28))</f>
        <v/>
      </c>
    </row>
    <row r="30">
      <c r="A30" s="10" t="inlineStr">
        <is>
          <t>Billable Net TPV · tranche 2</t>
        </is>
      </c>
      <c r="B30" s="9">
        <f>MAX(0,MIN(B27,Inputs!$E$37)-MAX(Inputs!$E$35,B28))</f>
        <v/>
      </c>
      <c r="C30" s="9">
        <f>MAX(0,MIN(C27,Inputs!$E$37)-MAX(Inputs!$E$35,C28))</f>
        <v/>
      </c>
      <c r="D30" s="9">
        <f>MAX(0,MIN(D27,Inputs!$E$37)-MAX(Inputs!$E$35,D28))</f>
        <v/>
      </c>
      <c r="E30" s="9">
        <f>MAX(0,MIN(E27,Inputs!$E$37)-MAX(Inputs!$E$35,E28))</f>
        <v/>
      </c>
    </row>
    <row r="31">
      <c r="A31" s="10" t="inlineStr">
        <is>
          <t>Billable Net TPV · tranche 3</t>
        </is>
      </c>
      <c r="B31" s="11">
        <f>MAX(0,MIN(B27,Inputs!$E$39)-MAX(Inputs!$E$37,B28))</f>
        <v/>
      </c>
      <c r="C31" s="11">
        <f>MAX(0,MIN(C27,Inputs!$E$39)-MAX(Inputs!$E$37,C28))</f>
        <v/>
      </c>
      <c r="D31" s="11">
        <f>MAX(0,MIN(D27,Inputs!$E$39)-MAX(Inputs!$E$37,D28))</f>
        <v/>
      </c>
      <c r="E31" s="11">
        <f>MAX(0,MIN(E27,Inputs!$E$39)-MAX(Inputs!$E$37,E28))</f>
        <v/>
      </c>
    </row>
    <row r="32">
      <c r="A32" s="10" t="inlineStr">
        <is>
          <t>Billable Net TPV · tranche 4</t>
        </is>
      </c>
      <c r="B32" s="9">
        <f>MAX(0,B27-MAX(Inputs!$E$39,B28))</f>
        <v/>
      </c>
      <c r="C32" s="9">
        <f>MAX(0,C27-MAX(Inputs!$E$39,C28))</f>
        <v/>
      </c>
      <c r="D32" s="9">
        <f>MAX(0,D27-MAX(Inputs!$E$39,D28))</f>
        <v/>
      </c>
      <c r="E32" s="9">
        <f>MAX(0,E27-MAX(Inputs!$E$39,E28))</f>
        <v/>
      </c>
    </row>
    <row r="33">
      <c r="A33" s="10" t="inlineStr">
        <is>
          <t>Usage fee</t>
        </is>
      </c>
      <c r="B33" s="11">
        <f>B29*Inputs!$E$36+B30*Inputs!$E$38+B31*Inputs!$E$40+B32*Inputs!$E$41</f>
        <v/>
      </c>
      <c r="C33" s="11">
        <f>C29*Inputs!$E$36+C30*Inputs!$E$38+C31*Inputs!$E$40+C32*Inputs!$E$41</f>
        <v/>
      </c>
      <c r="D33" s="11">
        <f>D29*Inputs!$E$36+D30*Inputs!$E$38+D31*Inputs!$E$40+D32*Inputs!$E$41</f>
        <v/>
      </c>
      <c r="E33" s="11">
        <f>E29*Inputs!$E$36+E30*Inputs!$E$38+E31*Inputs!$E$40+E32*Inputs!$E$41</f>
        <v/>
      </c>
    </row>
    <row r="34">
      <c r="A34" s="10" t="inlineStr">
        <is>
          <t>Platform fee</t>
        </is>
      </c>
      <c r="B34" s="9">
        <f>Inputs!$E$33</f>
        <v/>
      </c>
      <c r="C34" s="9">
        <f>Inputs!$E$33</f>
        <v/>
      </c>
      <c r="D34" s="9">
        <f>Inputs!$E$33</f>
        <v/>
      </c>
      <c r="E34" s="9">
        <f>Inputs!$E$33</f>
        <v/>
      </c>
    </row>
    <row r="35">
      <c r="A35" s="15" t="inlineStr">
        <is>
          <t>Yuno total a month</t>
        </is>
      </c>
      <c r="B35" s="16">
        <f>B33+B34</f>
        <v/>
      </c>
      <c r="C35" s="16">
        <f>C33+C34</f>
        <v/>
      </c>
      <c r="D35" s="16">
        <f>D33+D34</f>
        <v/>
      </c>
      <c r="E35" s="16">
        <f>E33+E34</f>
        <v/>
      </c>
    </row>
    <row r="36">
      <c r="A36" s="10" t="inlineStr">
        <is>
          <t>Yuno total a year</t>
        </is>
      </c>
      <c r="B36" s="9">
        <f>B35*12</f>
        <v/>
      </c>
      <c r="C36" s="9">
        <f>C35*12</f>
        <v/>
      </c>
      <c r="D36" s="9">
        <f>D35*12</f>
        <v/>
      </c>
      <c r="E36" s="9">
        <f>E35*12</f>
        <v/>
      </c>
    </row>
    <row r="37">
      <c r="A37" s="15" t="inlineStr">
        <is>
          <t>Yuno cost, % of TPV</t>
        </is>
      </c>
      <c r="B37" s="49">
        <f>B35/B27</f>
        <v/>
      </c>
      <c r="C37" s="49">
        <f>C35/C27</f>
        <v/>
      </c>
      <c r="D37" s="49">
        <f>D35/D27</f>
        <v/>
      </c>
      <c r="E37" s="49">
        <f>E35/E27</f>
        <v/>
      </c>
    </row>
    <row r="38">
      <c r="A38" s="15" t="inlineStr">
        <is>
          <t>Yuno cost per successful transaction</t>
        </is>
      </c>
      <c r="B38" s="50">
        <f>B35/B26</f>
        <v/>
      </c>
      <c r="C38" s="50">
        <f>C35/C26</f>
        <v/>
      </c>
      <c r="D38" s="50">
        <f>D35/D26</f>
        <v/>
      </c>
      <c r="E38" s="50">
        <f>E35/E26</f>
        <v/>
      </c>
    </row>
    <row r="39">
      <c r="A39" s="10" t="inlineStr">
        <is>
          <t>Hypothetical fixed fee A a month (comparison)</t>
        </is>
      </c>
      <c r="B39" s="11">
        <f>B26*Inputs!$E$42</f>
        <v/>
      </c>
      <c r="C39" s="11">
        <f>C26*Inputs!$E$42</f>
        <v/>
      </c>
      <c r="D39" s="11">
        <f>D26*Inputs!$E$42</f>
        <v/>
      </c>
      <c r="E39" s="11">
        <f>E26*Inputs!$E$42</f>
        <v/>
      </c>
    </row>
    <row r="40">
      <c r="A40" s="10" t="inlineStr">
        <is>
          <t>Fixed fee A, % of TPV</t>
        </is>
      </c>
      <c r="B40" s="12">
        <f>B39/B27</f>
        <v/>
      </c>
      <c r="C40" s="12">
        <f>C39/C27</f>
        <v/>
      </c>
      <c r="D40" s="12">
        <f>D39/D27</f>
        <v/>
      </c>
      <c r="E40" s="12">
        <f>E39/E27</f>
        <v/>
      </c>
    </row>
    <row r="41">
      <c r="A41" s="10" t="inlineStr">
        <is>
          <t>Hypothetical fixed fee B a month (comparison)</t>
        </is>
      </c>
      <c r="B41" s="11">
        <f>B26*Inputs!$E$43</f>
        <v/>
      </c>
      <c r="C41" s="11">
        <f>C26*Inputs!$E$43</f>
        <v/>
      </c>
      <c r="D41" s="11">
        <f>D26*Inputs!$E$43</f>
        <v/>
      </c>
      <c r="E41" s="11">
        <f>E26*Inputs!$E$43</f>
        <v/>
      </c>
    </row>
    <row r="42">
      <c r="A42" s="10" t="inlineStr">
        <is>
          <t>Fixed fee B, % of TPV</t>
        </is>
      </c>
      <c r="B42" s="12">
        <f>B41/B27</f>
        <v/>
      </c>
      <c r="C42" s="12">
        <f>C41/C27</f>
        <v/>
      </c>
      <c r="D42" s="12">
        <f>D41/D27</f>
        <v/>
      </c>
      <c r="E42" s="12">
        <f>E41/E27</f>
        <v/>
      </c>
    </row>
    <row r="43">
      <c r="A43" s="10" t="inlineStr">
        <is>
          <t>Yuno proposal vs fixed fee A, $ a month (negative = Yuno cheaper)</t>
        </is>
      </c>
      <c r="B43" s="11">
        <f>B35-B39</f>
        <v/>
      </c>
      <c r="C43" s="11">
        <f>C35-C39</f>
        <v/>
      </c>
      <c r="D43" s="11">
        <f>D35-D39</f>
        <v/>
      </c>
      <c r="E43" s="11">
        <f>E35-E39</f>
        <v/>
      </c>
    </row>
    <row r="44">
      <c r="A44" s="10" t="inlineStr">
        <is>
          <t>Yuno proposal vs fixed fee B, $ a month (negative = Yuno cheaper)</t>
        </is>
      </c>
      <c r="B44" s="9">
        <f>B35-B41</f>
        <v/>
      </c>
      <c r="C44" s="9">
        <f>C35-C41</f>
        <v/>
      </c>
      <c r="D44" s="9">
        <f>D35-D41</f>
        <v/>
      </c>
      <c r="E44" s="9">
        <f>E35-E41</f>
        <v/>
      </c>
    </row>
    <row r="46" ht="18" customHeight="1">
      <c r="A46" s="19" t="inlineStr">
        <is>
          <t>Small-ticket view at the MEDIAN ticket ($5): same transactions, half the TPV</t>
        </is>
      </c>
    </row>
    <row r="47" ht="18" customHeight="1">
      <c r="A47" s="6" t="inlineStr">
        <is>
          <t>Line</t>
        </is>
      </c>
      <c r="B47" s="7">
        <f>Inputs!$E$8</f>
        <v/>
      </c>
      <c r="C47" s="7">
        <f>Inputs!$E$9</f>
        <v/>
      </c>
      <c r="D47" s="7">
        <f>Inputs!$E$10</f>
        <v/>
      </c>
      <c r="E47" s="7">
        <f>Inputs!$E$11</f>
        <v/>
      </c>
    </row>
    <row r="48">
      <c r="A48" s="10" t="inlineStr">
        <is>
          <t>Successful transactions a month</t>
        </is>
      </c>
      <c r="B48" s="48">
        <f>Inputs!$E$8</f>
        <v/>
      </c>
      <c r="C48" s="48">
        <f>Inputs!$E$9</f>
        <v/>
      </c>
      <c r="D48" s="48">
        <f>Inputs!$E$10</f>
        <v/>
      </c>
      <c r="E48" s="48">
        <f>Inputs!$E$11</f>
        <v/>
      </c>
    </row>
    <row r="49">
      <c r="A49" s="10" t="inlineStr">
        <is>
          <t>Net TPV a month</t>
        </is>
      </c>
      <c r="B49" s="11">
        <f>B48*Inputs!$E$7</f>
        <v/>
      </c>
      <c r="C49" s="11">
        <f>C48*Inputs!$E$7</f>
        <v/>
      </c>
      <c r="D49" s="11">
        <f>D48*Inputs!$E$7</f>
        <v/>
      </c>
      <c r="E49" s="11">
        <f>E48*Inputs!$E$7</f>
        <v/>
      </c>
    </row>
    <row r="50">
      <c r="A50" s="10" t="inlineStr">
        <is>
          <t>Net TPV inside the included block</t>
        </is>
      </c>
      <c r="B50" s="9">
        <f>MIN(B49,Inputs!$E$34)</f>
        <v/>
      </c>
      <c r="C50" s="9">
        <f>MIN(C49,Inputs!$E$34)</f>
        <v/>
      </c>
      <c r="D50" s="9">
        <f>MIN(D49,Inputs!$E$34)</f>
        <v/>
      </c>
      <c r="E50" s="9">
        <f>MIN(E49,Inputs!$E$34)</f>
        <v/>
      </c>
    </row>
    <row r="51">
      <c r="A51" s="10" t="inlineStr">
        <is>
          <t>Billable Net TPV · tranche 1</t>
        </is>
      </c>
      <c r="B51" s="11">
        <f>MAX(0,MIN(B49,Inputs!$E$35)-MAX(0,B50))</f>
        <v/>
      </c>
      <c r="C51" s="11">
        <f>MAX(0,MIN(C49,Inputs!$E$35)-MAX(0,C50))</f>
        <v/>
      </c>
      <c r="D51" s="11">
        <f>MAX(0,MIN(D49,Inputs!$E$35)-MAX(0,D50))</f>
        <v/>
      </c>
      <c r="E51" s="11">
        <f>MAX(0,MIN(E49,Inputs!$E$35)-MAX(0,E50))</f>
        <v/>
      </c>
    </row>
    <row r="52">
      <c r="A52" s="10" t="inlineStr">
        <is>
          <t>Billable Net TPV · tranche 2</t>
        </is>
      </c>
      <c r="B52" s="9">
        <f>MAX(0,MIN(B49,Inputs!$E$37)-MAX(Inputs!$E$35,B50))</f>
        <v/>
      </c>
      <c r="C52" s="9">
        <f>MAX(0,MIN(C49,Inputs!$E$37)-MAX(Inputs!$E$35,C50))</f>
        <v/>
      </c>
      <c r="D52" s="9">
        <f>MAX(0,MIN(D49,Inputs!$E$37)-MAX(Inputs!$E$35,D50))</f>
        <v/>
      </c>
      <c r="E52" s="9">
        <f>MAX(0,MIN(E49,Inputs!$E$37)-MAX(Inputs!$E$35,E50))</f>
        <v/>
      </c>
    </row>
    <row r="53">
      <c r="A53" s="10" t="inlineStr">
        <is>
          <t>Billable Net TPV · tranche 3</t>
        </is>
      </c>
      <c r="B53" s="11">
        <f>MAX(0,MIN(B49,Inputs!$E$39)-MAX(Inputs!$E$37,B50))</f>
        <v/>
      </c>
      <c r="C53" s="11">
        <f>MAX(0,MIN(C49,Inputs!$E$39)-MAX(Inputs!$E$37,C50))</f>
        <v/>
      </c>
      <c r="D53" s="11">
        <f>MAX(0,MIN(D49,Inputs!$E$39)-MAX(Inputs!$E$37,D50))</f>
        <v/>
      </c>
      <c r="E53" s="11">
        <f>MAX(0,MIN(E49,Inputs!$E$39)-MAX(Inputs!$E$37,E50))</f>
        <v/>
      </c>
    </row>
    <row r="54">
      <c r="A54" s="10" t="inlineStr">
        <is>
          <t>Billable Net TPV · tranche 4</t>
        </is>
      </c>
      <c r="B54" s="9">
        <f>MAX(0,B49-MAX(Inputs!$E$39,B50))</f>
        <v/>
      </c>
      <c r="C54" s="9">
        <f>MAX(0,C49-MAX(Inputs!$E$39,C50))</f>
        <v/>
      </c>
      <c r="D54" s="9">
        <f>MAX(0,D49-MAX(Inputs!$E$39,D50))</f>
        <v/>
      </c>
      <c r="E54" s="9">
        <f>MAX(0,E49-MAX(Inputs!$E$39,E50))</f>
        <v/>
      </c>
    </row>
    <row r="55">
      <c r="A55" s="10" t="inlineStr">
        <is>
          <t>Usage fee</t>
        </is>
      </c>
      <c r="B55" s="11">
        <f>B51*Inputs!$E$36+B52*Inputs!$E$38+B53*Inputs!$E$40+B54*Inputs!$E$41</f>
        <v/>
      </c>
      <c r="C55" s="11">
        <f>C51*Inputs!$E$36+C52*Inputs!$E$38+C53*Inputs!$E$40+C54*Inputs!$E$41</f>
        <v/>
      </c>
      <c r="D55" s="11">
        <f>D51*Inputs!$E$36+D52*Inputs!$E$38+D53*Inputs!$E$40+D54*Inputs!$E$41</f>
        <v/>
      </c>
      <c r="E55" s="11">
        <f>E51*Inputs!$E$36+E52*Inputs!$E$38+E53*Inputs!$E$40+E54*Inputs!$E$41</f>
        <v/>
      </c>
    </row>
    <row r="56">
      <c r="A56" s="10" t="inlineStr">
        <is>
          <t>Platform fee</t>
        </is>
      </c>
      <c r="B56" s="9">
        <f>Inputs!$E$33</f>
        <v/>
      </c>
      <c r="C56" s="9">
        <f>Inputs!$E$33</f>
        <v/>
      </c>
      <c r="D56" s="9">
        <f>Inputs!$E$33</f>
        <v/>
      </c>
      <c r="E56" s="9">
        <f>Inputs!$E$33</f>
        <v/>
      </c>
    </row>
    <row r="57">
      <c r="A57" s="15" t="inlineStr">
        <is>
          <t>Yuno total a month</t>
        </is>
      </c>
      <c r="B57" s="16">
        <f>B55+B56</f>
        <v/>
      </c>
      <c r="C57" s="16">
        <f>C55+C56</f>
        <v/>
      </c>
      <c r="D57" s="16">
        <f>D55+D56</f>
        <v/>
      </c>
      <c r="E57" s="16">
        <f>E55+E56</f>
        <v/>
      </c>
    </row>
    <row r="58">
      <c r="A58" s="10" t="inlineStr">
        <is>
          <t>Yuno total a year</t>
        </is>
      </c>
      <c r="B58" s="9">
        <f>B57*12</f>
        <v/>
      </c>
      <c r="C58" s="9">
        <f>C57*12</f>
        <v/>
      </c>
      <c r="D58" s="9">
        <f>D57*12</f>
        <v/>
      </c>
      <c r="E58" s="9">
        <f>E57*12</f>
        <v/>
      </c>
    </row>
    <row r="59">
      <c r="A59" s="15" t="inlineStr">
        <is>
          <t>Yuno cost, % of TPV</t>
        </is>
      </c>
      <c r="B59" s="49">
        <f>B57/B49</f>
        <v/>
      </c>
      <c r="C59" s="49">
        <f>C57/C49</f>
        <v/>
      </c>
      <c r="D59" s="49">
        <f>D57/D49</f>
        <v/>
      </c>
      <c r="E59" s="49">
        <f>E57/E49</f>
        <v/>
      </c>
    </row>
    <row r="60">
      <c r="A60" s="15" t="inlineStr">
        <is>
          <t>Yuno cost per successful transaction</t>
        </is>
      </c>
      <c r="B60" s="50">
        <f>B57/B48</f>
        <v/>
      </c>
      <c r="C60" s="50">
        <f>C57/C48</f>
        <v/>
      </c>
      <c r="D60" s="50">
        <f>D57/D48</f>
        <v/>
      </c>
      <c r="E60" s="50">
        <f>E57/E48</f>
        <v/>
      </c>
    </row>
    <row r="61">
      <c r="A61" s="10" t="inlineStr">
        <is>
          <t>Hypothetical fixed fee A a month (comparison)</t>
        </is>
      </c>
      <c r="B61" s="11">
        <f>B48*Inputs!$E$42</f>
        <v/>
      </c>
      <c r="C61" s="11">
        <f>C48*Inputs!$E$42</f>
        <v/>
      </c>
      <c r="D61" s="11">
        <f>D48*Inputs!$E$42</f>
        <v/>
      </c>
      <c r="E61" s="11">
        <f>E48*Inputs!$E$42</f>
        <v/>
      </c>
    </row>
    <row r="62">
      <c r="A62" s="10" t="inlineStr">
        <is>
          <t>Fixed fee A, % of TPV</t>
        </is>
      </c>
      <c r="B62" s="12">
        <f>B61/B49</f>
        <v/>
      </c>
      <c r="C62" s="12">
        <f>C61/C49</f>
        <v/>
      </c>
      <c r="D62" s="12">
        <f>D61/D49</f>
        <v/>
      </c>
      <c r="E62" s="12">
        <f>E61/E49</f>
        <v/>
      </c>
    </row>
    <row r="63">
      <c r="A63" s="10" t="inlineStr">
        <is>
          <t>Hypothetical fixed fee B a month (comparison)</t>
        </is>
      </c>
      <c r="B63" s="11">
        <f>B48*Inputs!$E$43</f>
        <v/>
      </c>
      <c r="C63" s="11">
        <f>C48*Inputs!$E$43</f>
        <v/>
      </c>
      <c r="D63" s="11">
        <f>D48*Inputs!$E$43</f>
        <v/>
      </c>
      <c r="E63" s="11">
        <f>E48*Inputs!$E$43</f>
        <v/>
      </c>
    </row>
    <row r="64">
      <c r="A64" s="10" t="inlineStr">
        <is>
          <t>Fixed fee B, % of TPV</t>
        </is>
      </c>
      <c r="B64" s="12">
        <f>B63/B49</f>
        <v/>
      </c>
      <c r="C64" s="12">
        <f>C63/C49</f>
        <v/>
      </c>
      <c r="D64" s="12">
        <f>D63/D49</f>
        <v/>
      </c>
      <c r="E64" s="12">
        <f>E63/E49</f>
        <v/>
      </c>
    </row>
    <row r="65">
      <c r="A65" s="10" t="inlineStr">
        <is>
          <t>Yuno proposal vs fixed fee A, $ a month (negative = Yuno cheaper)</t>
        </is>
      </c>
      <c r="B65" s="11">
        <f>B57-B61</f>
        <v/>
      </c>
      <c r="C65" s="11">
        <f>C57-C61</f>
        <v/>
      </c>
      <c r="D65" s="11">
        <f>D57-D61</f>
        <v/>
      </c>
      <c r="E65" s="11">
        <f>E57-E61</f>
        <v/>
      </c>
    </row>
    <row r="66">
      <c r="A66" s="10" t="inlineStr">
        <is>
          <t>Yuno proposal vs fixed fee B, $ a month (negative = Yuno cheaper)</t>
        </is>
      </c>
      <c r="B66" s="9">
        <f>B57-B63</f>
        <v/>
      </c>
      <c r="C66" s="9">
        <f>C57-C63</f>
        <v/>
      </c>
      <c r="D66" s="9">
        <f>D57-D63</f>
        <v/>
      </c>
      <c r="E66" s="9">
        <f>E57-E63</f>
        <v/>
      </c>
    </row>
    <row r="68">
      <c r="A68" s="43" t="inlineStr">
        <is>
          <t>Reading: a fixed fee per transaction is blind to the ticket. At a $5 median, $0.05 a transaction is 1.0% of TPV and $0.10 is 2.0%. Billing in bps on Net TPV keeps the cost proportional to what Carry1st actually sells.</t>
        </is>
      </c>
    </row>
  </sheetData>
  <mergeCells count="5">
    <mergeCell ref="A1:J1"/>
    <mergeCell ref="A24:E24"/>
    <mergeCell ref="A46:E46"/>
    <mergeCell ref="A2:J2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1" t="inlineStr">
        <is>
          <t>Model · Option A (EBANX direct) vs Option B (EBANX + dLocal through Yuno) · monthly, USD</t>
        </is>
      </c>
    </row>
    <row r="2" ht="15.75" customHeight="1">
      <c r="A2" s="2" t="inlineStr">
        <is>
          <t>Columns = scenario x volume tier. All cells are formulas on Inputs. Contribution view = GMV levers x (take rate minus processing %) when the net flag is 1; GMV view counts the full incremental GMV.</t>
        </is>
      </c>
    </row>
    <row r="3" ht="9.75" customHeight="1"/>
    <row r="4" ht="18" customHeight="1">
      <c r="B4" s="6" t="inlineStr">
        <is>
          <t>Conservative</t>
        </is>
      </c>
      <c r="F4" s="19" t="inlineStr">
        <is>
          <t>Base</t>
        </is>
      </c>
      <c r="J4" s="6" t="inlineStr">
        <is>
          <t>Optimistic</t>
        </is>
      </c>
    </row>
    <row r="5">
      <c r="A5" s="15" t="inlineStr">
        <is>
          <t>Successful transactions a month</t>
        </is>
      </c>
      <c r="B5" s="46">
        <f>Inputs!$D$8</f>
        <v/>
      </c>
      <c r="C5" s="46">
        <f>Inputs!$D$9</f>
        <v/>
      </c>
      <c r="D5" s="46">
        <f>Inputs!$D$10</f>
        <v/>
      </c>
      <c r="E5" s="46">
        <f>Inputs!$D$11</f>
        <v/>
      </c>
      <c r="F5" s="46">
        <f>Inputs!$E$8</f>
        <v/>
      </c>
      <c r="G5" s="46">
        <f>Inputs!$E$9</f>
        <v/>
      </c>
      <c r="H5" s="46">
        <f>Inputs!$E$10</f>
        <v/>
      </c>
      <c r="I5" s="46">
        <f>Inputs!$E$11</f>
        <v/>
      </c>
      <c r="J5" s="46">
        <f>Inputs!$F$8</f>
        <v/>
      </c>
      <c r="K5" s="46">
        <f>Inputs!$F$9</f>
        <v/>
      </c>
      <c r="L5" s="46">
        <f>Inputs!$F$10</f>
        <v/>
      </c>
      <c r="M5" s="46">
        <f>Inputs!$F$11</f>
        <v/>
      </c>
    </row>
    <row r="6">
      <c r="A6" s="15" t="inlineStr">
        <is>
          <t>Net TPV a month (transactions x average ticket)</t>
        </is>
      </c>
      <c r="B6" s="18">
        <f>B5*Inputs!$D$6</f>
        <v/>
      </c>
      <c r="C6" s="18">
        <f>C5*Inputs!$D$6</f>
        <v/>
      </c>
      <c r="D6" s="18">
        <f>D5*Inputs!$D$6</f>
        <v/>
      </c>
      <c r="E6" s="18">
        <f>E5*Inputs!$D$6</f>
        <v/>
      </c>
      <c r="F6" s="18">
        <f>F5*Inputs!$E$6</f>
        <v/>
      </c>
      <c r="G6" s="18">
        <f>G5*Inputs!$E$6</f>
        <v/>
      </c>
      <c r="H6" s="18">
        <f>H5*Inputs!$E$6</f>
        <v/>
      </c>
      <c r="I6" s="18">
        <f>I5*Inputs!$E$6</f>
        <v/>
      </c>
      <c r="J6" s="18">
        <f>J5*Inputs!$F$6</f>
        <v/>
      </c>
      <c r="K6" s="18">
        <f>K5*Inputs!$F$6</f>
        <v/>
      </c>
      <c r="L6" s="18">
        <f>L5*Inputs!$F$6</f>
        <v/>
      </c>
      <c r="M6" s="18">
        <f>M5*Inputs!$F$6</f>
        <v/>
      </c>
    </row>
    <row r="7">
      <c r="A7" s="24" t="inlineStr">
        <is>
          <t>OPTION A · EBANX direct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</row>
    <row r="8">
      <c r="A8" s="10" t="inlineStr">
        <is>
          <t>Provider all-in cost, % of TPV</t>
        </is>
      </c>
      <c r="B8" s="51">
        <f>Inputs!$D$16</f>
        <v/>
      </c>
      <c r="C8" s="51">
        <f>Inputs!$D$16</f>
        <v/>
      </c>
      <c r="D8" s="51">
        <f>Inputs!$D$16</f>
        <v/>
      </c>
      <c r="E8" s="51">
        <f>Inputs!$D$16</f>
        <v/>
      </c>
      <c r="F8" s="51">
        <f>Inputs!$E$16</f>
        <v/>
      </c>
      <c r="G8" s="51">
        <f>Inputs!$E$16</f>
        <v/>
      </c>
      <c r="H8" s="51">
        <f>Inputs!$E$16</f>
        <v/>
      </c>
      <c r="I8" s="51">
        <f>Inputs!$E$16</f>
        <v/>
      </c>
      <c r="J8" s="51">
        <f>Inputs!$F$16</f>
        <v/>
      </c>
      <c r="K8" s="51">
        <f>Inputs!$F$16</f>
        <v/>
      </c>
      <c r="L8" s="51">
        <f>Inputs!$F$16</f>
        <v/>
      </c>
      <c r="M8" s="51">
        <f>Inputs!$F$16</f>
        <v/>
      </c>
    </row>
    <row r="9">
      <c r="A9" s="15" t="inlineStr">
        <is>
          <t>Option A total cost a month</t>
        </is>
      </c>
      <c r="B9" s="16">
        <f>B6*B8</f>
        <v/>
      </c>
      <c r="C9" s="16">
        <f>C6*C8</f>
        <v/>
      </c>
      <c r="D9" s="16">
        <f>D6*D8</f>
        <v/>
      </c>
      <c r="E9" s="16">
        <f>E6*E8</f>
        <v/>
      </c>
      <c r="F9" s="16">
        <f>F6*F8</f>
        <v/>
      </c>
      <c r="G9" s="16">
        <f>G6*G8</f>
        <v/>
      </c>
      <c r="H9" s="16">
        <f>H6*H8</f>
        <v/>
      </c>
      <c r="I9" s="16">
        <f>I6*I8</f>
        <v/>
      </c>
      <c r="J9" s="16">
        <f>J6*J8</f>
        <v/>
      </c>
      <c r="K9" s="16">
        <f>K6*K8</f>
        <v/>
      </c>
      <c r="L9" s="16">
        <f>L6*L8</f>
        <v/>
      </c>
      <c r="M9" s="16">
        <f>M6*M8</f>
        <v/>
      </c>
    </row>
    <row r="10">
      <c r="A10" s="10" t="inlineStr">
        <is>
          <t>Option A cost per $1,000 TPV</t>
        </is>
      </c>
      <c r="B10" s="14">
        <f>B9/B6*1000</f>
        <v/>
      </c>
      <c r="C10" s="14">
        <f>C9/C6*1000</f>
        <v/>
      </c>
      <c r="D10" s="14">
        <f>D9/D6*1000</f>
        <v/>
      </c>
      <c r="E10" s="14">
        <f>E9/E6*1000</f>
        <v/>
      </c>
      <c r="F10" s="14">
        <f>F9/F6*1000</f>
        <v/>
      </c>
      <c r="G10" s="14">
        <f>G9/G6*1000</f>
        <v/>
      </c>
      <c r="H10" s="14">
        <f>H9/H6*1000</f>
        <v/>
      </c>
      <c r="I10" s="14">
        <f>I9/I6*1000</f>
        <v/>
      </c>
      <c r="J10" s="14">
        <f>J9/J6*1000</f>
        <v/>
      </c>
      <c r="K10" s="14">
        <f>K9/K6*1000</f>
        <v/>
      </c>
      <c r="L10" s="14">
        <f>L9/L6*1000</f>
        <v/>
      </c>
      <c r="M10" s="14">
        <f>M9/M6*1000</f>
        <v/>
      </c>
    </row>
    <row r="11">
      <c r="A11" s="24" t="inlineStr">
        <is>
          <t>OPTION B · EBANX + dLocal through Yuno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</row>
    <row r="12">
      <c r="A12" s="10" t="inlineStr">
        <is>
          <t>MDR reduction, bps of TPV</t>
        </is>
      </c>
      <c r="B12" s="52">
        <f>Inputs!$D$20</f>
        <v/>
      </c>
      <c r="C12" s="52">
        <f>Inputs!$D$20</f>
        <v/>
      </c>
      <c r="D12" s="52">
        <f>Inputs!$D$20</f>
        <v/>
      </c>
      <c r="E12" s="52">
        <f>Inputs!$D$20</f>
        <v/>
      </c>
      <c r="F12" s="52">
        <f>Inputs!$E$20</f>
        <v/>
      </c>
      <c r="G12" s="52">
        <f>Inputs!$E$20</f>
        <v/>
      </c>
      <c r="H12" s="52">
        <f>Inputs!$E$20</f>
        <v/>
      </c>
      <c r="I12" s="52">
        <f>Inputs!$E$20</f>
        <v/>
      </c>
      <c r="J12" s="52">
        <f>Inputs!$F$20</f>
        <v/>
      </c>
      <c r="K12" s="52">
        <f>Inputs!$F$20</f>
        <v/>
      </c>
      <c r="L12" s="52">
        <f>Inputs!$F$20</f>
        <v/>
      </c>
      <c r="M12" s="52">
        <f>Inputs!$F$20</f>
        <v/>
      </c>
    </row>
    <row r="13">
      <c r="A13" s="10" t="inlineStr">
        <is>
          <t>Provider cost after reduction, % of TPV</t>
        </is>
      </c>
      <c r="B13" s="36">
        <f>B8-B12/10000</f>
        <v/>
      </c>
      <c r="C13" s="36">
        <f>C8-C12/10000</f>
        <v/>
      </c>
      <c r="D13" s="36">
        <f>D8-D12/10000</f>
        <v/>
      </c>
      <c r="E13" s="36">
        <f>E8-E12/10000</f>
        <v/>
      </c>
      <c r="F13" s="36">
        <f>F8-F12/10000</f>
        <v/>
      </c>
      <c r="G13" s="36">
        <f>G8-G12/10000</f>
        <v/>
      </c>
      <c r="H13" s="36">
        <f>H8-H12/10000</f>
        <v/>
      </c>
      <c r="I13" s="36">
        <f>I8-I12/10000</f>
        <v/>
      </c>
      <c r="J13" s="36">
        <f>J8-J12/10000</f>
        <v/>
      </c>
      <c r="K13" s="36">
        <f>K8-K12/10000</f>
        <v/>
      </c>
      <c r="L13" s="36">
        <f>L8-L12/10000</f>
        <v/>
      </c>
      <c r="M13" s="36">
        <f>M8-M12/10000</f>
        <v/>
      </c>
    </row>
    <row r="14">
      <c r="A14" s="10" t="inlineStr">
        <is>
          <t>Provider cost a month</t>
        </is>
      </c>
      <c r="B14" s="9">
        <f>B6*B13</f>
        <v/>
      </c>
      <c r="C14" s="9">
        <f>C6*C13</f>
        <v/>
      </c>
      <c r="D14" s="9">
        <f>D6*D13</f>
        <v/>
      </c>
      <c r="E14" s="9">
        <f>E6*E13</f>
        <v/>
      </c>
      <c r="F14" s="9">
        <f>F6*F13</f>
        <v/>
      </c>
      <c r="G14" s="9">
        <f>G6*G13</f>
        <v/>
      </c>
      <c r="H14" s="9">
        <f>H6*H13</f>
        <v/>
      </c>
      <c r="I14" s="9">
        <f>I6*I13</f>
        <v/>
      </c>
      <c r="J14" s="9">
        <f>J6*J13</f>
        <v/>
      </c>
      <c r="K14" s="9">
        <f>K6*K13</f>
        <v/>
      </c>
      <c r="L14" s="9">
        <f>L6*L13</f>
        <v/>
      </c>
      <c r="M14" s="9">
        <f>M6*M13</f>
        <v/>
      </c>
    </row>
    <row r="15">
      <c r="A15" s="10" t="inlineStr">
        <is>
          <t>Yuno · Net TPV inside the included block</t>
        </is>
      </c>
      <c r="B15" s="11">
        <f>MIN(B6,Inputs!$E$34)</f>
        <v/>
      </c>
      <c r="C15" s="11">
        <f>MIN(C6,Inputs!$E$34)</f>
        <v/>
      </c>
      <c r="D15" s="11">
        <f>MIN(D6,Inputs!$E$34)</f>
        <v/>
      </c>
      <c r="E15" s="11">
        <f>MIN(E6,Inputs!$E$34)</f>
        <v/>
      </c>
      <c r="F15" s="11">
        <f>MIN(F6,Inputs!$E$34)</f>
        <v/>
      </c>
      <c r="G15" s="11">
        <f>MIN(G6,Inputs!$E$34)</f>
        <v/>
      </c>
      <c r="H15" s="11">
        <f>MIN(H6,Inputs!$E$34)</f>
        <v/>
      </c>
      <c r="I15" s="11">
        <f>MIN(I6,Inputs!$E$34)</f>
        <v/>
      </c>
      <c r="J15" s="11">
        <f>MIN(J6,Inputs!$E$34)</f>
        <v/>
      </c>
      <c r="K15" s="11">
        <f>MIN(K6,Inputs!$E$34)</f>
        <v/>
      </c>
      <c r="L15" s="11">
        <f>MIN(L6,Inputs!$E$34)</f>
        <v/>
      </c>
      <c r="M15" s="11">
        <f>MIN(M6,Inputs!$E$34)</f>
        <v/>
      </c>
    </row>
    <row r="16">
      <c r="A16" s="10" t="inlineStr">
        <is>
          <t>Yuno · billable Net TPV in tranche 1</t>
        </is>
      </c>
      <c r="B16" s="9">
        <f>MAX(0,MIN(B6,Inputs!$E$35)-MAX(0,B15))</f>
        <v/>
      </c>
      <c r="C16" s="9">
        <f>MAX(0,MIN(C6,Inputs!$E$35)-MAX(0,C15))</f>
        <v/>
      </c>
      <c r="D16" s="9">
        <f>MAX(0,MIN(D6,Inputs!$E$35)-MAX(0,D15))</f>
        <v/>
      </c>
      <c r="E16" s="9">
        <f>MAX(0,MIN(E6,Inputs!$E$35)-MAX(0,E15))</f>
        <v/>
      </c>
      <c r="F16" s="9">
        <f>MAX(0,MIN(F6,Inputs!$E$35)-MAX(0,F15))</f>
        <v/>
      </c>
      <c r="G16" s="9">
        <f>MAX(0,MIN(G6,Inputs!$E$35)-MAX(0,G15))</f>
        <v/>
      </c>
      <c r="H16" s="9">
        <f>MAX(0,MIN(H6,Inputs!$E$35)-MAX(0,H15))</f>
        <v/>
      </c>
      <c r="I16" s="9">
        <f>MAX(0,MIN(I6,Inputs!$E$35)-MAX(0,I15))</f>
        <v/>
      </c>
      <c r="J16" s="9">
        <f>MAX(0,MIN(J6,Inputs!$E$35)-MAX(0,J15))</f>
        <v/>
      </c>
      <c r="K16" s="9">
        <f>MAX(0,MIN(K6,Inputs!$E$35)-MAX(0,K15))</f>
        <v/>
      </c>
      <c r="L16" s="9">
        <f>MAX(0,MIN(L6,Inputs!$E$35)-MAX(0,L15))</f>
        <v/>
      </c>
      <c r="M16" s="9">
        <f>MAX(0,MIN(M6,Inputs!$E$35)-MAX(0,M15))</f>
        <v/>
      </c>
    </row>
    <row r="17">
      <c r="A17" s="10" t="inlineStr">
        <is>
          <t>Yuno · billable Net TPV in tranche 2</t>
        </is>
      </c>
      <c r="B17" s="11">
        <f>MAX(0,MIN(B6,Inputs!$E$37)-MAX(Inputs!$E$35,B15))</f>
        <v/>
      </c>
      <c r="C17" s="11">
        <f>MAX(0,MIN(C6,Inputs!$E$37)-MAX(Inputs!$E$35,C15))</f>
        <v/>
      </c>
      <c r="D17" s="11">
        <f>MAX(0,MIN(D6,Inputs!$E$37)-MAX(Inputs!$E$35,D15))</f>
        <v/>
      </c>
      <c r="E17" s="11">
        <f>MAX(0,MIN(E6,Inputs!$E$37)-MAX(Inputs!$E$35,E15))</f>
        <v/>
      </c>
      <c r="F17" s="11">
        <f>MAX(0,MIN(F6,Inputs!$E$37)-MAX(Inputs!$E$35,F15))</f>
        <v/>
      </c>
      <c r="G17" s="11">
        <f>MAX(0,MIN(G6,Inputs!$E$37)-MAX(Inputs!$E$35,G15))</f>
        <v/>
      </c>
      <c r="H17" s="11">
        <f>MAX(0,MIN(H6,Inputs!$E$37)-MAX(Inputs!$E$35,H15))</f>
        <v/>
      </c>
      <c r="I17" s="11">
        <f>MAX(0,MIN(I6,Inputs!$E$37)-MAX(Inputs!$E$35,I15))</f>
        <v/>
      </c>
      <c r="J17" s="11">
        <f>MAX(0,MIN(J6,Inputs!$E$37)-MAX(Inputs!$E$35,J15))</f>
        <v/>
      </c>
      <c r="K17" s="11">
        <f>MAX(0,MIN(K6,Inputs!$E$37)-MAX(Inputs!$E$35,K15))</f>
        <v/>
      </c>
      <c r="L17" s="11">
        <f>MAX(0,MIN(L6,Inputs!$E$37)-MAX(Inputs!$E$35,L15))</f>
        <v/>
      </c>
      <c r="M17" s="11">
        <f>MAX(0,MIN(M6,Inputs!$E$37)-MAX(Inputs!$E$35,M15))</f>
        <v/>
      </c>
    </row>
    <row r="18">
      <c r="A18" s="10" t="inlineStr">
        <is>
          <t>Yuno · billable Net TPV in tranche 3</t>
        </is>
      </c>
      <c r="B18" s="9">
        <f>MAX(0,MIN(B6,Inputs!$E$39)-MAX(Inputs!$E$37,B15))</f>
        <v/>
      </c>
      <c r="C18" s="9">
        <f>MAX(0,MIN(C6,Inputs!$E$39)-MAX(Inputs!$E$37,C15))</f>
        <v/>
      </c>
      <c r="D18" s="9">
        <f>MAX(0,MIN(D6,Inputs!$E$39)-MAX(Inputs!$E$37,D15))</f>
        <v/>
      </c>
      <c r="E18" s="9">
        <f>MAX(0,MIN(E6,Inputs!$E$39)-MAX(Inputs!$E$37,E15))</f>
        <v/>
      </c>
      <c r="F18" s="9">
        <f>MAX(0,MIN(F6,Inputs!$E$39)-MAX(Inputs!$E$37,F15))</f>
        <v/>
      </c>
      <c r="G18" s="9">
        <f>MAX(0,MIN(G6,Inputs!$E$39)-MAX(Inputs!$E$37,G15))</f>
        <v/>
      </c>
      <c r="H18" s="9">
        <f>MAX(0,MIN(H6,Inputs!$E$39)-MAX(Inputs!$E$37,H15))</f>
        <v/>
      </c>
      <c r="I18" s="9">
        <f>MAX(0,MIN(I6,Inputs!$E$39)-MAX(Inputs!$E$37,I15))</f>
        <v/>
      </c>
      <c r="J18" s="9">
        <f>MAX(0,MIN(J6,Inputs!$E$39)-MAX(Inputs!$E$37,J15))</f>
        <v/>
      </c>
      <c r="K18" s="9">
        <f>MAX(0,MIN(K6,Inputs!$E$39)-MAX(Inputs!$E$37,K15))</f>
        <v/>
      </c>
      <c r="L18" s="9">
        <f>MAX(0,MIN(L6,Inputs!$E$39)-MAX(Inputs!$E$37,L15))</f>
        <v/>
      </c>
      <c r="M18" s="9">
        <f>MAX(0,MIN(M6,Inputs!$E$39)-MAX(Inputs!$E$37,M15))</f>
        <v/>
      </c>
    </row>
    <row r="19">
      <c r="A19" s="10" t="inlineStr">
        <is>
          <t>Yuno · billable Net TPV in tranche 4</t>
        </is>
      </c>
      <c r="B19" s="11">
        <f>MAX(0,B6-MAX(Inputs!$E$39,B15))</f>
        <v/>
      </c>
      <c r="C19" s="11">
        <f>MAX(0,C6-MAX(Inputs!$E$39,C15))</f>
        <v/>
      </c>
      <c r="D19" s="11">
        <f>MAX(0,D6-MAX(Inputs!$E$39,D15))</f>
        <v/>
      </c>
      <c r="E19" s="11">
        <f>MAX(0,E6-MAX(Inputs!$E$39,E15))</f>
        <v/>
      </c>
      <c r="F19" s="11">
        <f>MAX(0,F6-MAX(Inputs!$E$39,F15))</f>
        <v/>
      </c>
      <c r="G19" s="11">
        <f>MAX(0,G6-MAX(Inputs!$E$39,G15))</f>
        <v/>
      </c>
      <c r="H19" s="11">
        <f>MAX(0,H6-MAX(Inputs!$E$39,H15))</f>
        <v/>
      </c>
      <c r="I19" s="11">
        <f>MAX(0,I6-MAX(Inputs!$E$39,I15))</f>
        <v/>
      </c>
      <c r="J19" s="11">
        <f>MAX(0,J6-MAX(Inputs!$E$39,J15))</f>
        <v/>
      </c>
      <c r="K19" s="11">
        <f>MAX(0,K6-MAX(Inputs!$E$39,K15))</f>
        <v/>
      </c>
      <c r="L19" s="11">
        <f>MAX(0,L6-MAX(Inputs!$E$39,L15))</f>
        <v/>
      </c>
      <c r="M19" s="11">
        <f>MAX(0,M6-MAX(Inputs!$E$39,M15))</f>
        <v/>
      </c>
    </row>
    <row r="20">
      <c r="A20" s="10" t="inlineStr">
        <is>
          <t>Yuno · usage fee</t>
        </is>
      </c>
      <c r="B20" s="9">
        <f>B16*Inputs!$D$36+B17*Inputs!$D$38+B18*Inputs!$D$40+B19*Inputs!$D$41</f>
        <v/>
      </c>
      <c r="C20" s="9">
        <f>C16*Inputs!$D$36+C17*Inputs!$D$38+C18*Inputs!$D$40+C19*Inputs!$D$41</f>
        <v/>
      </c>
      <c r="D20" s="9">
        <f>D16*Inputs!$D$36+D17*Inputs!$D$38+D18*Inputs!$D$40+D19*Inputs!$D$41</f>
        <v/>
      </c>
      <c r="E20" s="9">
        <f>E16*Inputs!$D$36+E17*Inputs!$D$38+E18*Inputs!$D$40+E19*Inputs!$D$41</f>
        <v/>
      </c>
      <c r="F20" s="9">
        <f>F16*Inputs!$E$36+F17*Inputs!$E$38+F18*Inputs!$E$40+F19*Inputs!$E$41</f>
        <v/>
      </c>
      <c r="G20" s="9">
        <f>G16*Inputs!$E$36+G17*Inputs!$E$38+G18*Inputs!$E$40+G19*Inputs!$E$41</f>
        <v/>
      </c>
      <c r="H20" s="9">
        <f>H16*Inputs!$E$36+H17*Inputs!$E$38+H18*Inputs!$E$40+H19*Inputs!$E$41</f>
        <v/>
      </c>
      <c r="I20" s="9">
        <f>I16*Inputs!$E$36+I17*Inputs!$E$38+I18*Inputs!$E$40+I19*Inputs!$E$41</f>
        <v/>
      </c>
      <c r="J20" s="9">
        <f>J16*Inputs!$F$36+J17*Inputs!$F$38+J18*Inputs!$F$40+J19*Inputs!$F$41</f>
        <v/>
      </c>
      <c r="K20" s="9">
        <f>K16*Inputs!$F$36+K17*Inputs!$F$38+K18*Inputs!$F$40+K19*Inputs!$F$41</f>
        <v/>
      </c>
      <c r="L20" s="9">
        <f>L16*Inputs!$F$36+L17*Inputs!$F$38+L18*Inputs!$F$40+L19*Inputs!$F$41</f>
        <v/>
      </c>
      <c r="M20" s="9">
        <f>M16*Inputs!$F$36+M17*Inputs!$F$38+M18*Inputs!$F$40+M19*Inputs!$F$41</f>
        <v/>
      </c>
    </row>
    <row r="21">
      <c r="A21" s="10" t="inlineStr">
        <is>
          <t>Yuno · platform fee</t>
        </is>
      </c>
      <c r="B21" s="44">
        <f>Inputs!$D$33</f>
        <v/>
      </c>
      <c r="C21" s="44">
        <f>Inputs!$D$33</f>
        <v/>
      </c>
      <c r="D21" s="44">
        <f>Inputs!$D$33</f>
        <v/>
      </c>
      <c r="E21" s="44">
        <f>Inputs!$D$33</f>
        <v/>
      </c>
      <c r="F21" s="44">
        <f>Inputs!$E$33</f>
        <v/>
      </c>
      <c r="G21" s="44">
        <f>Inputs!$E$33</f>
        <v/>
      </c>
      <c r="H21" s="44">
        <f>Inputs!$E$33</f>
        <v/>
      </c>
      <c r="I21" s="44">
        <f>Inputs!$E$33</f>
        <v/>
      </c>
      <c r="J21" s="44">
        <f>Inputs!$F$33</f>
        <v/>
      </c>
      <c r="K21" s="44">
        <f>Inputs!$F$33</f>
        <v/>
      </c>
      <c r="L21" s="44">
        <f>Inputs!$F$33</f>
        <v/>
      </c>
      <c r="M21" s="44">
        <f>Inputs!$F$33</f>
        <v/>
      </c>
    </row>
    <row r="22">
      <c r="A22" s="15" t="inlineStr">
        <is>
          <t>Yuno total cost a month</t>
        </is>
      </c>
      <c r="B22" s="18">
        <f>B20+B21</f>
        <v/>
      </c>
      <c r="C22" s="18">
        <f>C20+C21</f>
        <v/>
      </c>
      <c r="D22" s="18">
        <f>D20+D21</f>
        <v/>
      </c>
      <c r="E22" s="18">
        <f>E20+E21</f>
        <v/>
      </c>
      <c r="F22" s="18">
        <f>F20+F21</f>
        <v/>
      </c>
      <c r="G22" s="18">
        <f>G20+G21</f>
        <v/>
      </c>
      <c r="H22" s="18">
        <f>H20+H21</f>
        <v/>
      </c>
      <c r="I22" s="18">
        <f>I20+I21</f>
        <v/>
      </c>
      <c r="J22" s="18">
        <f>J20+J21</f>
        <v/>
      </c>
      <c r="K22" s="18">
        <f>K20+K21</f>
        <v/>
      </c>
      <c r="L22" s="18">
        <f>L20+L21</f>
        <v/>
      </c>
      <c r="M22" s="18">
        <f>M20+M21</f>
        <v/>
      </c>
    </row>
    <row r="23">
      <c r="A23" s="10" t="inlineStr">
        <is>
          <t>Yuno cost, % of TPV</t>
        </is>
      </c>
      <c r="B23" s="36">
        <f>B22/B6</f>
        <v/>
      </c>
      <c r="C23" s="36">
        <f>C22/C6</f>
        <v/>
      </c>
      <c r="D23" s="36">
        <f>D22/D6</f>
        <v/>
      </c>
      <c r="E23" s="36">
        <f>E22/E6</f>
        <v/>
      </c>
      <c r="F23" s="36">
        <f>F22/F6</f>
        <v/>
      </c>
      <c r="G23" s="36">
        <f>G22/G6</f>
        <v/>
      </c>
      <c r="H23" s="36">
        <f>H22/H6</f>
        <v/>
      </c>
      <c r="I23" s="36">
        <f>I22/I6</f>
        <v/>
      </c>
      <c r="J23" s="36">
        <f>J22/J6</f>
        <v/>
      </c>
      <c r="K23" s="36">
        <f>K22/K6</f>
        <v/>
      </c>
      <c r="L23" s="36">
        <f>L22/L6</f>
        <v/>
      </c>
      <c r="M23" s="36">
        <f>M22/M6</f>
        <v/>
      </c>
    </row>
    <row r="24">
      <c r="A24" s="10" t="inlineStr">
        <is>
          <t>Yuno cost per successful transaction</t>
        </is>
      </c>
      <c r="B24" s="53">
        <f>B22/B5</f>
        <v/>
      </c>
      <c r="C24" s="53">
        <f>C22/C5</f>
        <v/>
      </c>
      <c r="D24" s="53">
        <f>D22/D5</f>
        <v/>
      </c>
      <c r="E24" s="53">
        <f>E22/E5</f>
        <v/>
      </c>
      <c r="F24" s="53">
        <f>F22/F5</f>
        <v/>
      </c>
      <c r="G24" s="53">
        <f>G22/G5</f>
        <v/>
      </c>
      <c r="H24" s="53">
        <f>H22/H5</f>
        <v/>
      </c>
      <c r="I24" s="53">
        <f>I22/I5</f>
        <v/>
      </c>
      <c r="J24" s="53">
        <f>J22/J5</f>
        <v/>
      </c>
      <c r="K24" s="53">
        <f>K22/K5</f>
        <v/>
      </c>
      <c r="L24" s="53">
        <f>L22/L5</f>
        <v/>
      </c>
      <c r="M24" s="53">
        <f>M22/M5</f>
        <v/>
      </c>
    </row>
    <row r="25">
      <c r="A25" s="15" t="inlineStr">
        <is>
          <t>Option B total cost a month (provider + Yuno)</t>
        </is>
      </c>
      <c r="B25" s="16">
        <f>B14+B22</f>
        <v/>
      </c>
      <c r="C25" s="16">
        <f>C14+C22</f>
        <v/>
      </c>
      <c r="D25" s="16">
        <f>D14+D22</f>
        <v/>
      </c>
      <c r="E25" s="16">
        <f>E14+E22</f>
        <v/>
      </c>
      <c r="F25" s="16">
        <f>F14+F22</f>
        <v/>
      </c>
      <c r="G25" s="16">
        <f>G14+G22</f>
        <v/>
      </c>
      <c r="H25" s="16">
        <f>H14+H22</f>
        <v/>
      </c>
      <c r="I25" s="16">
        <f>I14+I22</f>
        <v/>
      </c>
      <c r="J25" s="16">
        <f>J14+J22</f>
        <v/>
      </c>
      <c r="K25" s="16">
        <f>K14+K22</f>
        <v/>
      </c>
      <c r="L25" s="16">
        <f>L14+L22</f>
        <v/>
      </c>
      <c r="M25" s="16">
        <f>M14+M22</f>
        <v/>
      </c>
    </row>
    <row r="26">
      <c r="A26" s="10" t="inlineStr">
        <is>
          <t>Option B cost per $1,000 TPV</t>
        </is>
      </c>
      <c r="B26" s="14">
        <f>B25/B6*1000</f>
        <v/>
      </c>
      <c r="C26" s="14">
        <f>C25/C6*1000</f>
        <v/>
      </c>
      <c r="D26" s="14">
        <f>D25/D6*1000</f>
        <v/>
      </c>
      <c r="E26" s="14">
        <f>E25/E6*1000</f>
        <v/>
      </c>
      <c r="F26" s="14">
        <f>F25/F6*1000</f>
        <v/>
      </c>
      <c r="G26" s="14">
        <f>G25/G6*1000</f>
        <v/>
      </c>
      <c r="H26" s="14">
        <f>H25/H6*1000</f>
        <v/>
      </c>
      <c r="I26" s="14">
        <f>I25/I6*1000</f>
        <v/>
      </c>
      <c r="J26" s="14">
        <f>J25/J6*1000</f>
        <v/>
      </c>
      <c r="K26" s="14">
        <f>K25/K6*1000</f>
        <v/>
      </c>
      <c r="L26" s="14">
        <f>L25/L6*1000</f>
        <v/>
      </c>
      <c r="M26" s="14">
        <f>M25/M6*1000</f>
        <v/>
      </c>
    </row>
    <row r="27">
      <c r="A27" s="10" t="inlineStr">
        <is>
          <t>Option B all-in, % of TPV</t>
        </is>
      </c>
      <c r="B27" s="36">
        <f>B25/B6</f>
        <v/>
      </c>
      <c r="C27" s="36">
        <f>C25/C6</f>
        <v/>
      </c>
      <c r="D27" s="36">
        <f>D25/D6</f>
        <v/>
      </c>
      <c r="E27" s="36">
        <f>E25/E6</f>
        <v/>
      </c>
      <c r="F27" s="36">
        <f>F25/F6</f>
        <v/>
      </c>
      <c r="G27" s="36">
        <f>G25/G6</f>
        <v/>
      </c>
      <c r="H27" s="36">
        <f>H25/H6</f>
        <v/>
      </c>
      <c r="I27" s="36">
        <f>I25/I6</f>
        <v/>
      </c>
      <c r="J27" s="36">
        <f>J25/J6</f>
        <v/>
      </c>
      <c r="K27" s="36">
        <f>K25/K6</f>
        <v/>
      </c>
      <c r="L27" s="36">
        <f>L25/L6</f>
        <v/>
      </c>
      <c r="M27" s="36">
        <f>M25/M6</f>
        <v/>
      </c>
    </row>
    <row r="28">
      <c r="A28" s="24" t="inlineStr">
        <is>
          <t>LEVERS (monthly)</t>
        </is>
      </c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</row>
    <row r="29">
      <c r="A29" s="10" t="inlineStr">
        <is>
          <t>L1 · MDR saving (100% contribution)</t>
        </is>
      </c>
      <c r="B29" s="11">
        <f>B9-B14</f>
        <v/>
      </c>
      <c r="C29" s="11">
        <f>C9-C14</f>
        <v/>
      </c>
      <c r="D29" s="11">
        <f>D9-D14</f>
        <v/>
      </c>
      <c r="E29" s="11">
        <f>E9-E14</f>
        <v/>
      </c>
      <c r="F29" s="11">
        <f>F9-F14</f>
        <v/>
      </c>
      <c r="G29" s="11">
        <f>G9-G14</f>
        <v/>
      </c>
      <c r="H29" s="11">
        <f>H9-H14</f>
        <v/>
      </c>
      <c r="I29" s="11">
        <f>I9-I14</f>
        <v/>
      </c>
      <c r="J29" s="11">
        <f>J9-J14</f>
        <v/>
      </c>
      <c r="K29" s="11">
        <f>K9-K14</f>
        <v/>
      </c>
      <c r="L29" s="11">
        <f>L9-L14</f>
        <v/>
      </c>
      <c r="M29" s="11">
        <f>M9-M14</f>
        <v/>
      </c>
    </row>
    <row r="30">
      <c r="A30" s="10" t="inlineStr">
        <is>
          <t>Attempted volume (TPV / baseline approval)</t>
        </is>
      </c>
      <c r="B30" s="9">
        <f>B6/Inputs!$D$22</f>
        <v/>
      </c>
      <c r="C30" s="9">
        <f>C6/Inputs!$D$22</f>
        <v/>
      </c>
      <c r="D30" s="9">
        <f>D6/Inputs!$D$22</f>
        <v/>
      </c>
      <c r="E30" s="9">
        <f>E6/Inputs!$D$22</f>
        <v/>
      </c>
      <c r="F30" s="9">
        <f>F6/Inputs!$E$22</f>
        <v/>
      </c>
      <c r="G30" s="9">
        <f>G6/Inputs!$E$22</f>
        <v/>
      </c>
      <c r="H30" s="9">
        <f>H6/Inputs!$E$22</f>
        <v/>
      </c>
      <c r="I30" s="9">
        <f>I6/Inputs!$E$22</f>
        <v/>
      </c>
      <c r="J30" s="9">
        <f>J6/Inputs!$F$22</f>
        <v/>
      </c>
      <c r="K30" s="9">
        <f>K6/Inputs!$F$22</f>
        <v/>
      </c>
      <c r="L30" s="9">
        <f>L6/Inputs!$F$22</f>
        <v/>
      </c>
      <c r="M30" s="9">
        <f>M6/Inputs!$F$22</f>
        <v/>
      </c>
    </row>
    <row r="31">
      <c r="A31" s="10" t="inlineStr">
        <is>
          <t>L2 · retries and routing · incremental GMV</t>
        </is>
      </c>
      <c r="B31" s="11">
        <f>B30*Inputs!$D$23</f>
        <v/>
      </c>
      <c r="C31" s="11">
        <f>C30*Inputs!$D$23</f>
        <v/>
      </c>
      <c r="D31" s="11">
        <f>D30*Inputs!$D$23</f>
        <v/>
      </c>
      <c r="E31" s="11">
        <f>E30*Inputs!$D$23</f>
        <v/>
      </c>
      <c r="F31" s="11">
        <f>F30*Inputs!$E$23</f>
        <v/>
      </c>
      <c r="G31" s="11">
        <f>G30*Inputs!$E$23</f>
        <v/>
      </c>
      <c r="H31" s="11">
        <f>H30*Inputs!$E$23</f>
        <v/>
      </c>
      <c r="I31" s="11">
        <f>I30*Inputs!$E$23</f>
        <v/>
      </c>
      <c r="J31" s="11">
        <f>J30*Inputs!$F$23</f>
        <v/>
      </c>
      <c r="K31" s="11">
        <f>K30*Inputs!$F$23</f>
        <v/>
      </c>
      <c r="L31" s="11">
        <f>L30*Inputs!$F$23</f>
        <v/>
      </c>
      <c r="M31" s="11">
        <f>M30*Inputs!$F$23</f>
        <v/>
      </c>
    </row>
    <row r="32">
      <c r="A32" s="10" t="inlineStr">
        <is>
          <t>L2 · retries and routing · contribution</t>
        </is>
      </c>
      <c r="B32" s="9">
        <f>B31*(Inputs!$D$13-Inputs!$D$14*B27)</f>
        <v/>
      </c>
      <c r="C32" s="9">
        <f>C31*(Inputs!$D$13-Inputs!$D$14*C27)</f>
        <v/>
      </c>
      <c r="D32" s="9">
        <f>D31*(Inputs!$D$13-Inputs!$D$14*D27)</f>
        <v/>
      </c>
      <c r="E32" s="9">
        <f>E31*(Inputs!$D$13-Inputs!$D$14*E27)</f>
        <v/>
      </c>
      <c r="F32" s="9">
        <f>F31*(Inputs!$E$13-Inputs!$E$14*F27)</f>
        <v/>
      </c>
      <c r="G32" s="9">
        <f>G31*(Inputs!$E$13-Inputs!$E$14*G27)</f>
        <v/>
      </c>
      <c r="H32" s="9">
        <f>H31*(Inputs!$E$13-Inputs!$E$14*H27)</f>
        <v/>
      </c>
      <c r="I32" s="9">
        <f>I31*(Inputs!$E$13-Inputs!$E$14*I27)</f>
        <v/>
      </c>
      <c r="J32" s="9">
        <f>J31*(Inputs!$F$13-Inputs!$F$14*J27)</f>
        <v/>
      </c>
      <c r="K32" s="9">
        <f>K31*(Inputs!$F$13-Inputs!$F$14*K27)</f>
        <v/>
      </c>
      <c r="L32" s="9">
        <f>L31*(Inputs!$F$13-Inputs!$F$14*L27)</f>
        <v/>
      </c>
      <c r="M32" s="9">
        <f>M31*(Inputs!$F$13-Inputs!$F$14*M27)</f>
        <v/>
      </c>
    </row>
    <row r="33">
      <c r="A33" s="10" t="inlineStr">
        <is>
          <t>L3 · local methods · incremental GMV</t>
        </is>
      </c>
      <c r="B33" s="11">
        <f>B6*Inputs!$D$25</f>
        <v/>
      </c>
      <c r="C33" s="11">
        <f>C6*Inputs!$D$25</f>
        <v/>
      </c>
      <c r="D33" s="11">
        <f>D6*Inputs!$D$25</f>
        <v/>
      </c>
      <c r="E33" s="11">
        <f>E6*Inputs!$D$25</f>
        <v/>
      </c>
      <c r="F33" s="11">
        <f>F6*Inputs!$E$25</f>
        <v/>
      </c>
      <c r="G33" s="11">
        <f>G6*Inputs!$E$25</f>
        <v/>
      </c>
      <c r="H33" s="11">
        <f>H6*Inputs!$E$25</f>
        <v/>
      </c>
      <c r="I33" s="11">
        <f>I6*Inputs!$E$25</f>
        <v/>
      </c>
      <c r="J33" s="11">
        <f>J6*Inputs!$F$25</f>
        <v/>
      </c>
      <c r="K33" s="11">
        <f>K6*Inputs!$F$25</f>
        <v/>
      </c>
      <c r="L33" s="11">
        <f>L6*Inputs!$F$25</f>
        <v/>
      </c>
      <c r="M33" s="11">
        <f>M6*Inputs!$F$25</f>
        <v/>
      </c>
    </row>
    <row r="34">
      <c r="A34" s="10" t="inlineStr">
        <is>
          <t>L3 · local methods · contribution</t>
        </is>
      </c>
      <c r="B34" s="9">
        <f>B33*(Inputs!$D$13-Inputs!$D$14*B27)</f>
        <v/>
      </c>
      <c r="C34" s="9">
        <f>C33*(Inputs!$D$13-Inputs!$D$14*C27)</f>
        <v/>
      </c>
      <c r="D34" s="9">
        <f>D33*(Inputs!$D$13-Inputs!$D$14*D27)</f>
        <v/>
      </c>
      <c r="E34" s="9">
        <f>E33*(Inputs!$D$13-Inputs!$D$14*E27)</f>
        <v/>
      </c>
      <c r="F34" s="9">
        <f>F33*(Inputs!$E$13-Inputs!$E$14*F27)</f>
        <v/>
      </c>
      <c r="G34" s="9">
        <f>G33*(Inputs!$E$13-Inputs!$E$14*G27)</f>
        <v/>
      </c>
      <c r="H34" s="9">
        <f>H33*(Inputs!$E$13-Inputs!$E$14*H27)</f>
        <v/>
      </c>
      <c r="I34" s="9">
        <f>I33*(Inputs!$E$13-Inputs!$E$14*I27)</f>
        <v/>
      </c>
      <c r="J34" s="9">
        <f>J33*(Inputs!$F$13-Inputs!$F$14*J27)</f>
        <v/>
      </c>
      <c r="K34" s="9">
        <f>K33*(Inputs!$F$13-Inputs!$F$14*K27)</f>
        <v/>
      </c>
      <c r="L34" s="9">
        <f>L33*(Inputs!$F$13-Inputs!$F$14*L27)</f>
        <v/>
      </c>
      <c r="M34" s="9">
        <f>M33*(Inputs!$F$13-Inputs!$F$14*M27)</f>
        <v/>
      </c>
    </row>
    <row r="35">
      <c r="A35" s="10" t="inlineStr">
        <is>
          <t>L4 · engineering saved, monthly equivalent over the horizon</t>
        </is>
      </c>
      <c r="B35" s="11">
        <f>Inputs!$D$27*Inputs!$D$28*Inputs!$D$29*(1+Inputs!$D$30*Inputs!$D$31/12)/Inputs!$D$31</f>
        <v/>
      </c>
      <c r="C35" s="11">
        <f>Inputs!$D$27*Inputs!$D$28*Inputs!$D$29*(1+Inputs!$D$30*Inputs!$D$31/12)/Inputs!$D$31</f>
        <v/>
      </c>
      <c r="D35" s="11">
        <f>Inputs!$D$27*Inputs!$D$28*Inputs!$D$29*(1+Inputs!$D$30*Inputs!$D$31/12)/Inputs!$D$31</f>
        <v/>
      </c>
      <c r="E35" s="11">
        <f>Inputs!$D$27*Inputs!$D$28*Inputs!$D$29*(1+Inputs!$D$30*Inputs!$D$31/12)/Inputs!$D$31</f>
        <v/>
      </c>
      <c r="F35" s="11">
        <f>Inputs!$E$27*Inputs!$E$28*Inputs!$E$29*(1+Inputs!$E$30*Inputs!$E$31/12)/Inputs!$E$31</f>
        <v/>
      </c>
      <c r="G35" s="11">
        <f>Inputs!$E$27*Inputs!$E$28*Inputs!$E$29*(1+Inputs!$E$30*Inputs!$E$31/12)/Inputs!$E$31</f>
        <v/>
      </c>
      <c r="H35" s="11">
        <f>Inputs!$E$27*Inputs!$E$28*Inputs!$E$29*(1+Inputs!$E$30*Inputs!$E$31/12)/Inputs!$E$31</f>
        <v/>
      </c>
      <c r="I35" s="11">
        <f>Inputs!$E$27*Inputs!$E$28*Inputs!$E$29*(1+Inputs!$E$30*Inputs!$E$31/12)/Inputs!$E$31</f>
        <v/>
      </c>
      <c r="J35" s="11">
        <f>Inputs!$F$27*Inputs!$F$28*Inputs!$F$29*(1+Inputs!$F$30*Inputs!$F$31/12)/Inputs!$F$31</f>
        <v/>
      </c>
      <c r="K35" s="11">
        <f>Inputs!$F$27*Inputs!$F$28*Inputs!$F$29*(1+Inputs!$F$30*Inputs!$F$31/12)/Inputs!$F$31</f>
        <v/>
      </c>
      <c r="L35" s="11">
        <f>Inputs!$F$27*Inputs!$F$28*Inputs!$F$29*(1+Inputs!$F$30*Inputs!$F$31/12)/Inputs!$F$31</f>
        <v/>
      </c>
      <c r="M35" s="11">
        <f>Inputs!$F$27*Inputs!$F$28*Inputs!$F$29*(1+Inputs!$F$30*Inputs!$F$31/12)/Inputs!$F$31</f>
        <v/>
      </c>
    </row>
    <row r="36">
      <c r="A36" s="15" t="inlineStr">
        <is>
          <t>Gross benefit · contribution view</t>
        </is>
      </c>
      <c r="B36" s="18">
        <f>B29+B32+B34+B35</f>
        <v/>
      </c>
      <c r="C36" s="18">
        <f>C29+C32+C34+C35</f>
        <v/>
      </c>
      <c r="D36" s="18">
        <f>D29+D32+D34+D35</f>
        <v/>
      </c>
      <c r="E36" s="18">
        <f>E29+E32+E34+E35</f>
        <v/>
      </c>
      <c r="F36" s="18">
        <f>F29+F32+F34+F35</f>
        <v/>
      </c>
      <c r="G36" s="18">
        <f>G29+G32+G34+G35</f>
        <v/>
      </c>
      <c r="H36" s="18">
        <f>H29+H32+H34+H35</f>
        <v/>
      </c>
      <c r="I36" s="18">
        <f>I29+I32+I34+I35</f>
        <v/>
      </c>
      <c r="J36" s="18">
        <f>J29+J32+J34+J35</f>
        <v/>
      </c>
      <c r="K36" s="18">
        <f>K29+K32+K34+K35</f>
        <v/>
      </c>
      <c r="L36" s="18">
        <f>L29+L32+L34+L35</f>
        <v/>
      </c>
      <c r="M36" s="18">
        <f>M29+M32+M34+M35</f>
        <v/>
      </c>
    </row>
    <row r="37">
      <c r="A37" s="15" t="inlineStr">
        <is>
          <t>Gross benefit · GMV view</t>
        </is>
      </c>
      <c r="B37" s="16">
        <f>B29+B31+B33+B35</f>
        <v/>
      </c>
      <c r="C37" s="16">
        <f>C29+C31+C33+C35</f>
        <v/>
      </c>
      <c r="D37" s="16">
        <f>D29+D31+D33+D35</f>
        <v/>
      </c>
      <c r="E37" s="16">
        <f>E29+E31+E33+E35</f>
        <v/>
      </c>
      <c r="F37" s="16">
        <f>F29+F31+F33+F35</f>
        <v/>
      </c>
      <c r="G37" s="16">
        <f>G29+G31+G33+G35</f>
        <v/>
      </c>
      <c r="H37" s="16">
        <f>H29+H31+H33+H35</f>
        <v/>
      </c>
      <c r="I37" s="16">
        <f>I29+I31+I33+I35</f>
        <v/>
      </c>
      <c r="J37" s="16">
        <f>J29+J31+J33+J35</f>
        <v/>
      </c>
      <c r="K37" s="16">
        <f>K29+K31+K33+K35</f>
        <v/>
      </c>
      <c r="L37" s="16">
        <f>L29+L31+L33+L35</f>
        <v/>
      </c>
      <c r="M37" s="16">
        <f>M29+M31+M33+M35</f>
        <v/>
      </c>
    </row>
    <row r="38">
      <c r="A38" s="15" t="inlineStr">
        <is>
          <t>Net benefit · contribution view (gross minus Yuno cost)</t>
        </is>
      </c>
      <c r="B38" s="18">
        <f>B36-B22</f>
        <v/>
      </c>
      <c r="C38" s="18">
        <f>C36-C22</f>
        <v/>
      </c>
      <c r="D38" s="18">
        <f>D36-D22</f>
        <v/>
      </c>
      <c r="E38" s="18">
        <f>E36-E22</f>
        <v/>
      </c>
      <c r="F38" s="18">
        <f>F36-F22</f>
        <v/>
      </c>
      <c r="G38" s="18">
        <f>G36-G22</f>
        <v/>
      </c>
      <c r="H38" s="18">
        <f>H36-H22</f>
        <v/>
      </c>
      <c r="I38" s="18">
        <f>I36-I22</f>
        <v/>
      </c>
      <c r="J38" s="18">
        <f>J36-J22</f>
        <v/>
      </c>
      <c r="K38" s="18">
        <f>K36-K22</f>
        <v/>
      </c>
      <c r="L38" s="18">
        <f>L36-L22</f>
        <v/>
      </c>
      <c r="M38" s="18">
        <f>M36-M22</f>
        <v/>
      </c>
    </row>
    <row r="39">
      <c r="A39" s="15" t="inlineStr">
        <is>
          <t>Net benefit · GMV view (gross minus Yuno cost)</t>
        </is>
      </c>
      <c r="B39" s="16">
        <f>B37-B22</f>
        <v/>
      </c>
      <c r="C39" s="16">
        <f>C37-C22</f>
        <v/>
      </c>
      <c r="D39" s="16">
        <f>D37-D22</f>
        <v/>
      </c>
      <c r="E39" s="16">
        <f>E37-E22</f>
        <v/>
      </c>
      <c r="F39" s="16">
        <f>F37-F22</f>
        <v/>
      </c>
      <c r="G39" s="16">
        <f>G37-G22</f>
        <v/>
      </c>
      <c r="H39" s="16">
        <f>H37-H22</f>
        <v/>
      </c>
      <c r="I39" s="16">
        <f>I37-I22</f>
        <v/>
      </c>
      <c r="J39" s="16">
        <f>J37-J22</f>
        <v/>
      </c>
      <c r="K39" s="16">
        <f>K37-K22</f>
        <v/>
      </c>
      <c r="L39" s="16">
        <f>L37-L22</f>
        <v/>
      </c>
      <c r="M39" s="16">
        <f>M37-M22</f>
        <v/>
      </c>
    </row>
    <row r="40">
      <c r="A40" s="10" t="inlineStr">
        <is>
          <t>Option B cost per $1,000 TPV after levers (contribution)</t>
        </is>
      </c>
      <c r="B40" s="14">
        <f>(B25-B32-B34-B35)/B6*1000</f>
        <v/>
      </c>
      <c r="C40" s="14">
        <f>(C25-C32-C34-C35)/C6*1000</f>
        <v/>
      </c>
      <c r="D40" s="14">
        <f>(D25-D32-D34-D35)/D6*1000</f>
        <v/>
      </c>
      <c r="E40" s="14">
        <f>(E25-E32-E34-E35)/E6*1000</f>
        <v/>
      </c>
      <c r="F40" s="14">
        <f>(F25-F32-F34-F35)/F6*1000</f>
        <v/>
      </c>
      <c r="G40" s="14">
        <f>(G25-G32-G34-G35)/G6*1000</f>
        <v/>
      </c>
      <c r="H40" s="14">
        <f>(H25-H32-H34-H35)/H6*1000</f>
        <v/>
      </c>
      <c r="I40" s="14">
        <f>(I25-I32-I34-I35)/I6*1000</f>
        <v/>
      </c>
      <c r="J40" s="14">
        <f>(J25-J32-J34-J35)/J6*1000</f>
        <v/>
      </c>
      <c r="K40" s="14">
        <f>(K25-K32-K34-K35)/K6*1000</f>
        <v/>
      </c>
      <c r="L40" s="14">
        <f>(L25-L32-L34-L35)/L6*1000</f>
        <v/>
      </c>
      <c r="M40" s="14">
        <f>(M25-M32-M34-M35)/M6*1000</f>
        <v/>
      </c>
    </row>
    <row r="41">
      <c r="A41" s="10" t="inlineStr">
        <is>
          <t>Advantage vs Option A per $1,000 TPV (contribution)</t>
        </is>
      </c>
      <c r="B41" s="13">
        <f>B10-B40</f>
        <v/>
      </c>
      <c r="C41" s="13">
        <f>C10-C40</f>
        <v/>
      </c>
      <c r="D41" s="13">
        <f>D10-D40</f>
        <v/>
      </c>
      <c r="E41" s="13">
        <f>E10-E40</f>
        <v/>
      </c>
      <c r="F41" s="13">
        <f>F10-F40</f>
        <v/>
      </c>
      <c r="G41" s="13">
        <f>G10-G40</f>
        <v/>
      </c>
      <c r="H41" s="13">
        <f>H10-H40</f>
        <v/>
      </c>
      <c r="I41" s="13">
        <f>I10-I40</f>
        <v/>
      </c>
      <c r="J41" s="13">
        <f>J10-J40</f>
        <v/>
      </c>
      <c r="K41" s="13">
        <f>K10-K40</f>
        <v/>
      </c>
      <c r="L41" s="13">
        <f>L10-L40</f>
        <v/>
      </c>
      <c r="M41" s="13">
        <f>M10-M40</f>
        <v/>
      </c>
    </row>
    <row r="42">
      <c r="A42" s="10" t="inlineStr">
        <is>
          <t>Gross contribution / Yuno cost</t>
        </is>
      </c>
      <c r="B42" s="54">
        <f>B36/B22</f>
        <v/>
      </c>
      <c r="C42" s="54">
        <f>C36/C22</f>
        <v/>
      </c>
      <c r="D42" s="54">
        <f>D36/D22</f>
        <v/>
      </c>
      <c r="E42" s="54">
        <f>E36/E22</f>
        <v/>
      </c>
      <c r="F42" s="54">
        <f>F36/F22</f>
        <v/>
      </c>
      <c r="G42" s="54">
        <f>G36/G22</f>
        <v/>
      </c>
      <c r="H42" s="54">
        <f>H36/H22</f>
        <v/>
      </c>
      <c r="I42" s="54">
        <f>I36/I22</f>
        <v/>
      </c>
      <c r="J42" s="54">
        <f>J36/J22</f>
        <v/>
      </c>
      <c r="K42" s="54">
        <f>K36/K22</f>
        <v/>
      </c>
      <c r="L42" s="54">
        <f>L36/L22</f>
        <v/>
      </c>
      <c r="M42" s="54">
        <f>M36/M22</f>
        <v/>
      </c>
    </row>
    <row r="43">
      <c r="A43" s="24" t="inlineStr">
        <is>
          <t>ANNUAL (x12 at this volume)</t>
        </is>
      </c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</row>
    <row r="44">
      <c r="A44" s="10" t="inlineStr">
        <is>
          <t>Option A cost a year</t>
        </is>
      </c>
      <c r="B44" s="9">
        <f>B9*12</f>
        <v/>
      </c>
      <c r="C44" s="9">
        <f>C9*12</f>
        <v/>
      </c>
      <c r="D44" s="9">
        <f>D9*12</f>
        <v/>
      </c>
      <c r="E44" s="9">
        <f>E9*12</f>
        <v/>
      </c>
      <c r="F44" s="9">
        <f>F9*12</f>
        <v/>
      </c>
      <c r="G44" s="9">
        <f>G9*12</f>
        <v/>
      </c>
      <c r="H44" s="9">
        <f>H9*12</f>
        <v/>
      </c>
      <c r="I44" s="9">
        <f>I9*12</f>
        <v/>
      </c>
      <c r="J44" s="9">
        <f>J9*12</f>
        <v/>
      </c>
      <c r="K44" s="9">
        <f>K9*12</f>
        <v/>
      </c>
      <c r="L44" s="9">
        <f>L9*12</f>
        <v/>
      </c>
      <c r="M44" s="9">
        <f>M9*12</f>
        <v/>
      </c>
    </row>
    <row r="45">
      <c r="A45" s="10" t="inlineStr">
        <is>
          <t>Option B cost a year (provider + Yuno)</t>
        </is>
      </c>
      <c r="B45" s="11">
        <f>B25*12</f>
        <v/>
      </c>
      <c r="C45" s="11">
        <f>C25*12</f>
        <v/>
      </c>
      <c r="D45" s="11">
        <f>D25*12</f>
        <v/>
      </c>
      <c r="E45" s="11">
        <f>E25*12</f>
        <v/>
      </c>
      <c r="F45" s="11">
        <f>F25*12</f>
        <v/>
      </c>
      <c r="G45" s="11">
        <f>G25*12</f>
        <v/>
      </c>
      <c r="H45" s="11">
        <f>H25*12</f>
        <v/>
      </c>
      <c r="I45" s="11">
        <f>I25*12</f>
        <v/>
      </c>
      <c r="J45" s="11">
        <f>J25*12</f>
        <v/>
      </c>
      <c r="K45" s="11">
        <f>K25*12</f>
        <v/>
      </c>
      <c r="L45" s="11">
        <f>L25*12</f>
        <v/>
      </c>
      <c r="M45" s="11">
        <f>M25*12</f>
        <v/>
      </c>
    </row>
    <row r="46">
      <c r="A46" s="10" t="inlineStr">
        <is>
          <t>Yuno cost a year</t>
        </is>
      </c>
      <c r="B46" s="9">
        <f>B22*12</f>
        <v/>
      </c>
      <c r="C46" s="9">
        <f>C22*12</f>
        <v/>
      </c>
      <c r="D46" s="9">
        <f>D22*12</f>
        <v/>
      </c>
      <c r="E46" s="9">
        <f>E22*12</f>
        <v/>
      </c>
      <c r="F46" s="9">
        <f>F22*12</f>
        <v/>
      </c>
      <c r="G46" s="9">
        <f>G22*12</f>
        <v/>
      </c>
      <c r="H46" s="9">
        <f>H22*12</f>
        <v/>
      </c>
      <c r="I46" s="9">
        <f>I22*12</f>
        <v/>
      </c>
      <c r="J46" s="9">
        <f>J22*12</f>
        <v/>
      </c>
      <c r="K46" s="9">
        <f>K22*12</f>
        <v/>
      </c>
      <c r="L46" s="9">
        <f>L22*12</f>
        <v/>
      </c>
      <c r="M46" s="9">
        <f>M22*12</f>
        <v/>
      </c>
    </row>
    <row r="47">
      <c r="A47" s="10" t="inlineStr">
        <is>
          <t>Gross benefit a year · contribution</t>
        </is>
      </c>
      <c r="B47" s="11">
        <f>B36*12</f>
        <v/>
      </c>
      <c r="C47" s="11">
        <f>C36*12</f>
        <v/>
      </c>
      <c r="D47" s="11">
        <f>D36*12</f>
        <v/>
      </c>
      <c r="E47" s="11">
        <f>E36*12</f>
        <v/>
      </c>
      <c r="F47" s="11">
        <f>F36*12</f>
        <v/>
      </c>
      <c r="G47" s="11">
        <f>G36*12</f>
        <v/>
      </c>
      <c r="H47" s="11">
        <f>H36*12</f>
        <v/>
      </c>
      <c r="I47" s="11">
        <f>I36*12</f>
        <v/>
      </c>
      <c r="J47" s="11">
        <f>J36*12</f>
        <v/>
      </c>
      <c r="K47" s="11">
        <f>K36*12</f>
        <v/>
      </c>
      <c r="L47" s="11">
        <f>L36*12</f>
        <v/>
      </c>
      <c r="M47" s="11">
        <f>M36*12</f>
        <v/>
      </c>
    </row>
    <row r="48">
      <c r="A48" s="15" t="inlineStr">
        <is>
          <t>Net benefit a year · contribution</t>
        </is>
      </c>
      <c r="B48" s="18">
        <f>B38*12</f>
        <v/>
      </c>
      <c r="C48" s="18">
        <f>C38*12</f>
        <v/>
      </c>
      <c r="D48" s="18">
        <f>D38*12</f>
        <v/>
      </c>
      <c r="E48" s="18">
        <f>E38*12</f>
        <v/>
      </c>
      <c r="F48" s="18">
        <f>F38*12</f>
        <v/>
      </c>
      <c r="G48" s="18">
        <f>G38*12</f>
        <v/>
      </c>
      <c r="H48" s="18">
        <f>H38*12</f>
        <v/>
      </c>
      <c r="I48" s="18">
        <f>I38*12</f>
        <v/>
      </c>
      <c r="J48" s="18">
        <f>J38*12</f>
        <v/>
      </c>
      <c r="K48" s="18">
        <f>K38*12</f>
        <v/>
      </c>
      <c r="L48" s="18">
        <f>L38*12</f>
        <v/>
      </c>
      <c r="M48" s="18">
        <f>M38*12</f>
        <v/>
      </c>
    </row>
    <row r="49">
      <c r="A49" s="15" t="inlineStr">
        <is>
          <t>Net benefit a year · GMV view</t>
        </is>
      </c>
      <c r="B49" s="16">
        <f>B39*12</f>
        <v/>
      </c>
      <c r="C49" s="16">
        <f>C39*12</f>
        <v/>
      </c>
      <c r="D49" s="16">
        <f>D39*12</f>
        <v/>
      </c>
      <c r="E49" s="16">
        <f>E39*12</f>
        <v/>
      </c>
      <c r="F49" s="16">
        <f>F39*12</f>
        <v/>
      </c>
      <c r="G49" s="16">
        <f>G39*12</f>
        <v/>
      </c>
      <c r="H49" s="16">
        <f>H39*12</f>
        <v/>
      </c>
      <c r="I49" s="16">
        <f>I39*12</f>
        <v/>
      </c>
      <c r="J49" s="16">
        <f>J39*12</f>
        <v/>
      </c>
      <c r="K49" s="16">
        <f>K39*12</f>
        <v/>
      </c>
      <c r="L49" s="16">
        <f>L39*12</f>
        <v/>
      </c>
      <c r="M49" s="16">
        <f>M39*12</f>
        <v/>
      </c>
    </row>
  </sheetData>
  <mergeCells count="5">
    <mergeCell ref="A1:M1"/>
    <mergeCell ref="B4:E4"/>
    <mergeCell ref="F4:I4"/>
    <mergeCell ref="J4:M4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6" customHeight="1">
      <c r="A1" s="1" t="inlineStr">
        <is>
          <t>Break-even · successful transactions a month where the net benefit covers the Yuno cost (platform fee included)</t>
        </is>
      </c>
    </row>
    <row r="2" ht="15.75" customHeight="1">
      <c r="A2" s="2" t="inlineStr">
        <is>
          <t>Grid of 5,000-transaction steps at the average ticket; break-even interpolated between the last negative and first non-negative row. Contribution view.</t>
        </is>
      </c>
    </row>
    <row r="3" ht="9.75" customHeight="1"/>
    <row r="4" ht="18" customHeight="1">
      <c r="A4" s="6" t="inlineStr">
        <is>
          <t>Scenario</t>
        </is>
      </c>
      <c r="C4" s="6" t="inlineStr">
        <is>
          <t>Break-even tx / month</t>
        </is>
      </c>
      <c r="E4" s="6" t="inlineStr">
        <is>
          <t>Break-even TPV / month</t>
        </is>
      </c>
      <c r="G4" s="6" t="inlineStr">
        <is>
          <t>Net at tier 1</t>
        </is>
      </c>
      <c r="I4" s="6" t="inlineStr">
        <is>
          <t>Net at tier 4</t>
        </is>
      </c>
    </row>
    <row r="5">
      <c r="A5" s="15" t="inlineStr">
        <is>
          <t>Conservative</t>
        </is>
      </c>
      <c r="C5" s="21">
        <f>IFERROR(IF(MATCH(1,H12:H111,0)=1,INDEX($A$12:$A$111,1),INDEX($A$12:$A$111,MATCH(1,H12:H111,0)-1)+(INDEX($A$12:$A$111,MATCH(1,H12:H111,0))-INDEX($A$12:$A$111,MATCH(1,H12:H111,0)-1))*(0-INDEX(G12:G111,MATCH(1,H12:H111,0)-1))/(INDEX(G12:G111,MATCH(1,H12:H111,0))-INDEX(G12:G111,MATCH(1,H12:H111,0)-1))),"above 500,000")</f>
        <v/>
      </c>
      <c r="E5" s="11">
        <f>IFERROR(C5*Inputs!$E$6,"n/a")</f>
        <v/>
      </c>
      <c r="G5" s="44">
        <f>Model!B38</f>
        <v/>
      </c>
      <c r="I5" s="44">
        <f>Model!E38</f>
        <v/>
      </c>
    </row>
    <row r="6">
      <c r="A6" s="15" t="inlineStr">
        <is>
          <t>Base</t>
        </is>
      </c>
      <c r="C6" s="21">
        <f>IFERROR(IF(MATCH(1,M12:M111,0)=1,INDEX($A$12:$A$111,1),INDEX($A$12:$A$111,MATCH(1,M12:M111,0)-1)+(INDEX($A$12:$A$111,MATCH(1,M12:M111,0))-INDEX($A$12:$A$111,MATCH(1,M12:M111,0)-1))*(0-INDEX(L12:L111,MATCH(1,M12:M111,0)-1))/(INDEX(L12:L111,MATCH(1,M12:M111,0))-INDEX(L12:L111,MATCH(1,M12:M111,0)-1))),"above 500,000")</f>
        <v/>
      </c>
      <c r="E6" s="11">
        <f>IFERROR(C6*Inputs!$E$6,"n/a")</f>
        <v/>
      </c>
      <c r="G6" s="44">
        <f>Model!F38</f>
        <v/>
      </c>
      <c r="I6" s="44">
        <f>Model!I38</f>
        <v/>
      </c>
    </row>
    <row r="7">
      <c r="A7" s="15" t="inlineStr">
        <is>
          <t>Optimistic</t>
        </is>
      </c>
      <c r="C7" s="21">
        <f>IFERROR(IF(MATCH(1,R12:R111,0)=1,INDEX($A$12:$A$111,1),INDEX($A$12:$A$111,MATCH(1,R12:R111,0)-1)+(INDEX($A$12:$A$111,MATCH(1,R12:R111,0))-INDEX($A$12:$A$111,MATCH(1,R12:R111,0)-1))*(0-INDEX(Q12:Q111,MATCH(1,R12:R111,0)-1))/(INDEX(Q12:Q111,MATCH(1,R12:R111,0))-INDEX(Q12:Q111,MATCH(1,R12:R111,0)-1))),"above 500,000")</f>
        <v/>
      </c>
      <c r="E7" s="11">
        <f>IFERROR(C7*Inputs!$E$6,"n/a")</f>
        <v/>
      </c>
      <c r="G7" s="44">
        <f>Model!J38</f>
        <v/>
      </c>
      <c r="I7" s="44">
        <f>Model!M38</f>
        <v/>
      </c>
    </row>
    <row r="9">
      <c r="A9" s="43" t="inlineStr">
        <is>
          <t>Break-even = first monthly transaction count at which L1 + L2 + L3 + L4 (contribution view) &gt;= Yuno platform fee + usage. Inside the included block, usage is zero, so the test is simply gross benefit &gt;= $7,500.</t>
        </is>
      </c>
    </row>
    <row r="10" ht="18" customHeight="1">
      <c r="D10" s="6" t="inlineStr">
        <is>
          <t>Conservative</t>
        </is>
      </c>
      <c r="I10" s="19" t="inlineStr">
        <is>
          <t>Base</t>
        </is>
      </c>
      <c r="N10" s="6" t="inlineStr">
        <is>
          <t>Optimistic</t>
        </is>
      </c>
    </row>
    <row r="11" ht="18" customHeight="1">
      <c r="A11" s="6" t="inlineStr">
        <is>
          <t>Transactions</t>
        </is>
      </c>
      <c r="B11" s="6" t="inlineStr">
        <is>
          <t>Net TPV</t>
        </is>
      </c>
      <c r="C11" s="6" t="inlineStr">
        <is>
          <t>Included TPV</t>
        </is>
      </c>
      <c r="D11" s="6" t="inlineStr">
        <is>
          <t>Yuno cost</t>
        </is>
      </c>
      <c r="E11" s="6" t="inlineStr">
        <is>
          <t>Option B %</t>
        </is>
      </c>
      <c r="F11" s="6" t="inlineStr">
        <is>
          <t>Gross contribution</t>
        </is>
      </c>
      <c r="G11" s="6" t="inlineStr">
        <is>
          <t>Net benefit</t>
        </is>
      </c>
      <c r="H11" s="6" t="inlineStr">
        <is>
          <t>Net &gt;= 0</t>
        </is>
      </c>
      <c r="I11" s="6" t="inlineStr">
        <is>
          <t>Yuno cost</t>
        </is>
      </c>
      <c r="J11" s="6" t="inlineStr">
        <is>
          <t>Option B %</t>
        </is>
      </c>
      <c r="K11" s="6" t="inlineStr">
        <is>
          <t>Gross contribution</t>
        </is>
      </c>
      <c r="L11" s="6" t="inlineStr">
        <is>
          <t>Net benefit</t>
        </is>
      </c>
      <c r="M11" s="6" t="inlineStr">
        <is>
          <t>Net &gt;= 0</t>
        </is>
      </c>
      <c r="N11" s="6" t="inlineStr">
        <is>
          <t>Yuno cost</t>
        </is>
      </c>
      <c r="O11" s="6" t="inlineStr">
        <is>
          <t>Option B %</t>
        </is>
      </c>
      <c r="P11" s="6" t="inlineStr">
        <is>
          <t>Gross contribution</t>
        </is>
      </c>
      <c r="Q11" s="6" t="inlineStr">
        <is>
          <t>Net benefit</t>
        </is>
      </c>
      <c r="R11" s="6" t="inlineStr">
        <is>
          <t>Net &gt;= 0</t>
        </is>
      </c>
    </row>
    <row r="12">
      <c r="A12" s="55" t="n">
        <v>5000</v>
      </c>
      <c r="B12" s="56">
        <f>A12*Inputs!$E$6</f>
        <v/>
      </c>
      <c r="C12" s="56">
        <f>MIN(B12,Inputs!$E$34)</f>
        <v/>
      </c>
      <c r="D12" s="56">
        <f>Inputs!$E$33+MAX(0,MIN(B12,Inputs!$E$35)-MAX(0,C12))*Inputs!$E$36+MAX(0,MIN(B12,Inputs!$E$37)-MAX(Inputs!$E$35,C12))*Inputs!$E$38+MAX(0,MIN(B12,Inputs!$E$39)-MAX(Inputs!$E$37,C12))*Inputs!$E$40+MAX(0,B12-MAX(Inputs!$E$39,C12))*Inputs!$E$41</f>
        <v/>
      </c>
      <c r="E12" s="57">
        <f>(B12*(Inputs!$D$16-Inputs!$D$20/10000)+D12)/B12</f>
        <v/>
      </c>
      <c r="F12" s="56">
        <f>B12*Inputs!$D$20/10000+(B12/Inputs!$D$22*Inputs!$D$23+B12*Inputs!$D$25)*(Inputs!$D$13-Inputs!$D$14*E12)+Inputs!$D$27*Inputs!$D$28*Inputs!$D$29*(1+Inputs!$D$30*Inputs!$D$31/12)/Inputs!$D$31</f>
        <v/>
      </c>
      <c r="G12" s="58">
        <f>F12-D12</f>
        <v/>
      </c>
      <c r="H12" s="59">
        <f>IF(G12&gt;=0,1,0)</f>
        <v/>
      </c>
      <c r="I12" s="56">
        <f>Inputs!$E$33+MAX(0,MIN(B12,Inputs!$E$35)-MAX(0,C12))*Inputs!$E$36+MAX(0,MIN(B12,Inputs!$E$37)-MAX(Inputs!$E$35,C12))*Inputs!$E$38+MAX(0,MIN(B12,Inputs!$E$39)-MAX(Inputs!$E$37,C12))*Inputs!$E$40+MAX(0,B12-MAX(Inputs!$E$39,C12))*Inputs!$E$41</f>
        <v/>
      </c>
      <c r="J12" s="57">
        <f>(B12*(Inputs!$E$16-Inputs!$E$20/10000)+I12)/B12</f>
        <v/>
      </c>
      <c r="K12" s="56">
        <f>B12*Inputs!$E$20/10000+(B12/Inputs!$E$22*Inputs!$E$23+B12*Inputs!$E$25)*(Inputs!$E$13-Inputs!$E$14*J12)+Inputs!$E$27*Inputs!$E$28*Inputs!$E$29*(1+Inputs!$E$30*Inputs!$E$31/12)/Inputs!$E$31</f>
        <v/>
      </c>
      <c r="L12" s="58">
        <f>K12-I12</f>
        <v/>
      </c>
      <c r="M12" s="59">
        <f>IF(L12&gt;=0,1,0)</f>
        <v/>
      </c>
      <c r="N12" s="56">
        <f>Inputs!$E$33+MAX(0,MIN(B12,Inputs!$E$35)-MAX(0,C12))*Inputs!$E$36+MAX(0,MIN(B12,Inputs!$E$37)-MAX(Inputs!$E$35,C12))*Inputs!$E$38+MAX(0,MIN(B12,Inputs!$E$39)-MAX(Inputs!$E$37,C12))*Inputs!$E$40+MAX(0,B12-MAX(Inputs!$E$39,C12))*Inputs!$E$41</f>
        <v/>
      </c>
      <c r="O12" s="57">
        <f>(B12*(Inputs!$F$16-Inputs!$F$20/10000)+N12)/B12</f>
        <v/>
      </c>
      <c r="P12" s="56">
        <f>B12*Inputs!$F$20/10000+(B12/Inputs!$F$22*Inputs!$F$23+B12*Inputs!$F$25)*(Inputs!$F$13-Inputs!$F$14*O12)+Inputs!$F$27*Inputs!$F$28*Inputs!$F$29*(1+Inputs!$F$30*Inputs!$F$31/12)/Inputs!$F$31</f>
        <v/>
      </c>
      <c r="Q12" s="58">
        <f>P12-N12</f>
        <v/>
      </c>
      <c r="R12" s="59">
        <f>IF(Q12&gt;=0,1,0)</f>
        <v/>
      </c>
    </row>
    <row r="13">
      <c r="A13" s="60">
        <f>A12+5000</f>
        <v/>
      </c>
      <c r="B13" s="56">
        <f>A13*Inputs!$E$6</f>
        <v/>
      </c>
      <c r="C13" s="56">
        <f>MIN(B13,Inputs!$E$34)</f>
        <v/>
      </c>
      <c r="D13" s="56">
        <f>Inputs!$E$33+MAX(0,MIN(B13,Inputs!$E$35)-MAX(0,C13))*Inputs!$E$36+MAX(0,MIN(B13,Inputs!$E$37)-MAX(Inputs!$E$35,C13))*Inputs!$E$38+MAX(0,MIN(B13,Inputs!$E$39)-MAX(Inputs!$E$37,C13))*Inputs!$E$40+MAX(0,B13-MAX(Inputs!$E$39,C13))*Inputs!$E$41</f>
        <v/>
      </c>
      <c r="E13" s="57">
        <f>(B13*(Inputs!$D$16-Inputs!$D$20/10000)+D13)/B13</f>
        <v/>
      </c>
      <c r="F13" s="56">
        <f>B13*Inputs!$D$20/10000+(B13/Inputs!$D$22*Inputs!$D$23+B13*Inputs!$D$25)*(Inputs!$D$13-Inputs!$D$14*E13)+Inputs!$D$27*Inputs!$D$28*Inputs!$D$29*(1+Inputs!$D$30*Inputs!$D$31/12)/Inputs!$D$31</f>
        <v/>
      </c>
      <c r="G13" s="58">
        <f>F13-D13</f>
        <v/>
      </c>
      <c r="H13" s="59">
        <f>IF(G13&gt;=0,1,0)</f>
        <v/>
      </c>
      <c r="I13" s="56">
        <f>Inputs!$E$33+MAX(0,MIN(B13,Inputs!$E$35)-MAX(0,C13))*Inputs!$E$36+MAX(0,MIN(B13,Inputs!$E$37)-MAX(Inputs!$E$35,C13))*Inputs!$E$38+MAX(0,MIN(B13,Inputs!$E$39)-MAX(Inputs!$E$37,C13))*Inputs!$E$40+MAX(0,B13-MAX(Inputs!$E$39,C13))*Inputs!$E$41</f>
        <v/>
      </c>
      <c r="J13" s="57">
        <f>(B13*(Inputs!$E$16-Inputs!$E$20/10000)+I13)/B13</f>
        <v/>
      </c>
      <c r="K13" s="56">
        <f>B13*Inputs!$E$20/10000+(B13/Inputs!$E$22*Inputs!$E$23+B13*Inputs!$E$25)*(Inputs!$E$13-Inputs!$E$14*J13)+Inputs!$E$27*Inputs!$E$28*Inputs!$E$29*(1+Inputs!$E$30*Inputs!$E$31/12)/Inputs!$E$31</f>
        <v/>
      </c>
      <c r="L13" s="58">
        <f>K13-I13</f>
        <v/>
      </c>
      <c r="M13" s="59">
        <f>IF(L13&gt;=0,1,0)</f>
        <v/>
      </c>
      <c r="N13" s="56">
        <f>Inputs!$E$33+MAX(0,MIN(B13,Inputs!$E$35)-MAX(0,C13))*Inputs!$E$36+MAX(0,MIN(B13,Inputs!$E$37)-MAX(Inputs!$E$35,C13))*Inputs!$E$38+MAX(0,MIN(B13,Inputs!$E$39)-MAX(Inputs!$E$37,C13))*Inputs!$E$40+MAX(0,B13-MAX(Inputs!$E$39,C13))*Inputs!$E$41</f>
        <v/>
      </c>
      <c r="O13" s="57">
        <f>(B13*(Inputs!$F$16-Inputs!$F$20/10000)+N13)/B13</f>
        <v/>
      </c>
      <c r="P13" s="56">
        <f>B13*Inputs!$F$20/10000+(B13/Inputs!$F$22*Inputs!$F$23+B13*Inputs!$F$25)*(Inputs!$F$13-Inputs!$F$14*O13)+Inputs!$F$27*Inputs!$F$28*Inputs!$F$29*(1+Inputs!$F$30*Inputs!$F$31/12)/Inputs!$F$31</f>
        <v/>
      </c>
      <c r="Q13" s="58">
        <f>P13-N13</f>
        <v/>
      </c>
      <c r="R13" s="59">
        <f>IF(Q13&gt;=0,1,0)</f>
        <v/>
      </c>
    </row>
    <row r="14">
      <c r="A14" s="60">
        <f>A13+5000</f>
        <v/>
      </c>
      <c r="B14" s="56">
        <f>A14*Inputs!$E$6</f>
        <v/>
      </c>
      <c r="C14" s="56">
        <f>MIN(B14,Inputs!$E$34)</f>
        <v/>
      </c>
      <c r="D14" s="56">
        <f>Inputs!$E$33+MAX(0,MIN(B14,Inputs!$E$35)-MAX(0,C14))*Inputs!$E$36+MAX(0,MIN(B14,Inputs!$E$37)-MAX(Inputs!$E$35,C14))*Inputs!$E$38+MAX(0,MIN(B14,Inputs!$E$39)-MAX(Inputs!$E$37,C14))*Inputs!$E$40+MAX(0,B14-MAX(Inputs!$E$39,C14))*Inputs!$E$41</f>
        <v/>
      </c>
      <c r="E14" s="57">
        <f>(B14*(Inputs!$D$16-Inputs!$D$20/10000)+D14)/B14</f>
        <v/>
      </c>
      <c r="F14" s="56">
        <f>B14*Inputs!$D$20/10000+(B14/Inputs!$D$22*Inputs!$D$23+B14*Inputs!$D$25)*(Inputs!$D$13-Inputs!$D$14*E14)+Inputs!$D$27*Inputs!$D$28*Inputs!$D$29*(1+Inputs!$D$30*Inputs!$D$31/12)/Inputs!$D$31</f>
        <v/>
      </c>
      <c r="G14" s="58">
        <f>F14-D14</f>
        <v/>
      </c>
      <c r="H14" s="59">
        <f>IF(G14&gt;=0,1,0)</f>
        <v/>
      </c>
      <c r="I14" s="56">
        <f>Inputs!$E$33+MAX(0,MIN(B14,Inputs!$E$35)-MAX(0,C14))*Inputs!$E$36+MAX(0,MIN(B14,Inputs!$E$37)-MAX(Inputs!$E$35,C14))*Inputs!$E$38+MAX(0,MIN(B14,Inputs!$E$39)-MAX(Inputs!$E$37,C14))*Inputs!$E$40+MAX(0,B14-MAX(Inputs!$E$39,C14))*Inputs!$E$41</f>
        <v/>
      </c>
      <c r="J14" s="57">
        <f>(B14*(Inputs!$E$16-Inputs!$E$20/10000)+I14)/B14</f>
        <v/>
      </c>
      <c r="K14" s="56">
        <f>B14*Inputs!$E$20/10000+(B14/Inputs!$E$22*Inputs!$E$23+B14*Inputs!$E$25)*(Inputs!$E$13-Inputs!$E$14*J14)+Inputs!$E$27*Inputs!$E$28*Inputs!$E$29*(1+Inputs!$E$30*Inputs!$E$31/12)/Inputs!$E$31</f>
        <v/>
      </c>
      <c r="L14" s="58">
        <f>K14-I14</f>
        <v/>
      </c>
      <c r="M14" s="59">
        <f>IF(L14&gt;=0,1,0)</f>
        <v/>
      </c>
      <c r="N14" s="56">
        <f>Inputs!$E$33+MAX(0,MIN(B14,Inputs!$E$35)-MAX(0,C14))*Inputs!$E$36+MAX(0,MIN(B14,Inputs!$E$37)-MAX(Inputs!$E$35,C14))*Inputs!$E$38+MAX(0,MIN(B14,Inputs!$E$39)-MAX(Inputs!$E$37,C14))*Inputs!$E$40+MAX(0,B14-MAX(Inputs!$E$39,C14))*Inputs!$E$41</f>
        <v/>
      </c>
      <c r="O14" s="57">
        <f>(B14*(Inputs!$F$16-Inputs!$F$20/10000)+N14)/B14</f>
        <v/>
      </c>
      <c r="P14" s="56">
        <f>B14*Inputs!$F$20/10000+(B14/Inputs!$F$22*Inputs!$F$23+B14*Inputs!$F$25)*(Inputs!$F$13-Inputs!$F$14*O14)+Inputs!$F$27*Inputs!$F$28*Inputs!$F$29*(1+Inputs!$F$30*Inputs!$F$31/12)/Inputs!$F$31</f>
        <v/>
      </c>
      <c r="Q14" s="58">
        <f>P14-N14</f>
        <v/>
      </c>
      <c r="R14" s="59">
        <f>IF(Q14&gt;=0,1,0)</f>
        <v/>
      </c>
    </row>
    <row r="15">
      <c r="A15" s="60">
        <f>A14+5000</f>
        <v/>
      </c>
      <c r="B15" s="56">
        <f>A15*Inputs!$E$6</f>
        <v/>
      </c>
      <c r="C15" s="56">
        <f>MIN(B15,Inputs!$E$34)</f>
        <v/>
      </c>
      <c r="D15" s="56">
        <f>Inputs!$E$33+MAX(0,MIN(B15,Inputs!$E$35)-MAX(0,C15))*Inputs!$E$36+MAX(0,MIN(B15,Inputs!$E$37)-MAX(Inputs!$E$35,C15))*Inputs!$E$38+MAX(0,MIN(B15,Inputs!$E$39)-MAX(Inputs!$E$37,C15))*Inputs!$E$40+MAX(0,B15-MAX(Inputs!$E$39,C15))*Inputs!$E$41</f>
        <v/>
      </c>
      <c r="E15" s="57">
        <f>(B15*(Inputs!$D$16-Inputs!$D$20/10000)+D15)/B15</f>
        <v/>
      </c>
      <c r="F15" s="56">
        <f>B15*Inputs!$D$20/10000+(B15/Inputs!$D$22*Inputs!$D$23+B15*Inputs!$D$25)*(Inputs!$D$13-Inputs!$D$14*E15)+Inputs!$D$27*Inputs!$D$28*Inputs!$D$29*(1+Inputs!$D$30*Inputs!$D$31/12)/Inputs!$D$31</f>
        <v/>
      </c>
      <c r="G15" s="58">
        <f>F15-D15</f>
        <v/>
      </c>
      <c r="H15" s="59">
        <f>IF(G15&gt;=0,1,0)</f>
        <v/>
      </c>
      <c r="I15" s="56">
        <f>Inputs!$E$33+MAX(0,MIN(B15,Inputs!$E$35)-MAX(0,C15))*Inputs!$E$36+MAX(0,MIN(B15,Inputs!$E$37)-MAX(Inputs!$E$35,C15))*Inputs!$E$38+MAX(0,MIN(B15,Inputs!$E$39)-MAX(Inputs!$E$37,C15))*Inputs!$E$40+MAX(0,B15-MAX(Inputs!$E$39,C15))*Inputs!$E$41</f>
        <v/>
      </c>
      <c r="J15" s="57">
        <f>(B15*(Inputs!$E$16-Inputs!$E$20/10000)+I15)/B15</f>
        <v/>
      </c>
      <c r="K15" s="56">
        <f>B15*Inputs!$E$20/10000+(B15/Inputs!$E$22*Inputs!$E$23+B15*Inputs!$E$25)*(Inputs!$E$13-Inputs!$E$14*J15)+Inputs!$E$27*Inputs!$E$28*Inputs!$E$29*(1+Inputs!$E$30*Inputs!$E$31/12)/Inputs!$E$31</f>
        <v/>
      </c>
      <c r="L15" s="58">
        <f>K15-I15</f>
        <v/>
      </c>
      <c r="M15" s="59">
        <f>IF(L15&gt;=0,1,0)</f>
        <v/>
      </c>
      <c r="N15" s="56">
        <f>Inputs!$E$33+MAX(0,MIN(B15,Inputs!$E$35)-MAX(0,C15))*Inputs!$E$36+MAX(0,MIN(B15,Inputs!$E$37)-MAX(Inputs!$E$35,C15))*Inputs!$E$38+MAX(0,MIN(B15,Inputs!$E$39)-MAX(Inputs!$E$37,C15))*Inputs!$E$40+MAX(0,B15-MAX(Inputs!$E$39,C15))*Inputs!$E$41</f>
        <v/>
      </c>
      <c r="O15" s="57">
        <f>(B15*(Inputs!$F$16-Inputs!$F$20/10000)+N15)/B15</f>
        <v/>
      </c>
      <c r="P15" s="56">
        <f>B15*Inputs!$F$20/10000+(B15/Inputs!$F$22*Inputs!$F$23+B15*Inputs!$F$25)*(Inputs!$F$13-Inputs!$F$14*O15)+Inputs!$F$27*Inputs!$F$28*Inputs!$F$29*(1+Inputs!$F$30*Inputs!$F$31/12)/Inputs!$F$31</f>
        <v/>
      </c>
      <c r="Q15" s="58">
        <f>P15-N15</f>
        <v/>
      </c>
      <c r="R15" s="59">
        <f>IF(Q15&gt;=0,1,0)</f>
        <v/>
      </c>
    </row>
    <row r="16">
      <c r="A16" s="60">
        <f>A15+5000</f>
        <v/>
      </c>
      <c r="B16" s="56">
        <f>A16*Inputs!$E$6</f>
        <v/>
      </c>
      <c r="C16" s="56">
        <f>MIN(B16,Inputs!$E$34)</f>
        <v/>
      </c>
      <c r="D16" s="56">
        <f>Inputs!$E$33+MAX(0,MIN(B16,Inputs!$E$35)-MAX(0,C16))*Inputs!$E$36+MAX(0,MIN(B16,Inputs!$E$37)-MAX(Inputs!$E$35,C16))*Inputs!$E$38+MAX(0,MIN(B16,Inputs!$E$39)-MAX(Inputs!$E$37,C16))*Inputs!$E$40+MAX(0,B16-MAX(Inputs!$E$39,C16))*Inputs!$E$41</f>
        <v/>
      </c>
      <c r="E16" s="57">
        <f>(B16*(Inputs!$D$16-Inputs!$D$20/10000)+D16)/B16</f>
        <v/>
      </c>
      <c r="F16" s="56">
        <f>B16*Inputs!$D$20/10000+(B16/Inputs!$D$22*Inputs!$D$23+B16*Inputs!$D$25)*(Inputs!$D$13-Inputs!$D$14*E16)+Inputs!$D$27*Inputs!$D$28*Inputs!$D$29*(1+Inputs!$D$30*Inputs!$D$31/12)/Inputs!$D$31</f>
        <v/>
      </c>
      <c r="G16" s="58">
        <f>F16-D16</f>
        <v/>
      </c>
      <c r="H16" s="59">
        <f>IF(G16&gt;=0,1,0)</f>
        <v/>
      </c>
      <c r="I16" s="56">
        <f>Inputs!$E$33+MAX(0,MIN(B16,Inputs!$E$35)-MAX(0,C16))*Inputs!$E$36+MAX(0,MIN(B16,Inputs!$E$37)-MAX(Inputs!$E$35,C16))*Inputs!$E$38+MAX(0,MIN(B16,Inputs!$E$39)-MAX(Inputs!$E$37,C16))*Inputs!$E$40+MAX(0,B16-MAX(Inputs!$E$39,C16))*Inputs!$E$41</f>
        <v/>
      </c>
      <c r="J16" s="57">
        <f>(B16*(Inputs!$E$16-Inputs!$E$20/10000)+I16)/B16</f>
        <v/>
      </c>
      <c r="K16" s="56">
        <f>B16*Inputs!$E$20/10000+(B16/Inputs!$E$22*Inputs!$E$23+B16*Inputs!$E$25)*(Inputs!$E$13-Inputs!$E$14*J16)+Inputs!$E$27*Inputs!$E$28*Inputs!$E$29*(1+Inputs!$E$30*Inputs!$E$31/12)/Inputs!$E$31</f>
        <v/>
      </c>
      <c r="L16" s="58">
        <f>K16-I16</f>
        <v/>
      </c>
      <c r="M16" s="59">
        <f>IF(L16&gt;=0,1,0)</f>
        <v/>
      </c>
      <c r="N16" s="56">
        <f>Inputs!$E$33+MAX(0,MIN(B16,Inputs!$E$35)-MAX(0,C16))*Inputs!$E$36+MAX(0,MIN(B16,Inputs!$E$37)-MAX(Inputs!$E$35,C16))*Inputs!$E$38+MAX(0,MIN(B16,Inputs!$E$39)-MAX(Inputs!$E$37,C16))*Inputs!$E$40+MAX(0,B16-MAX(Inputs!$E$39,C16))*Inputs!$E$41</f>
        <v/>
      </c>
      <c r="O16" s="57">
        <f>(B16*(Inputs!$F$16-Inputs!$F$20/10000)+N16)/B16</f>
        <v/>
      </c>
      <c r="P16" s="56">
        <f>B16*Inputs!$F$20/10000+(B16/Inputs!$F$22*Inputs!$F$23+B16*Inputs!$F$25)*(Inputs!$F$13-Inputs!$F$14*O16)+Inputs!$F$27*Inputs!$F$28*Inputs!$F$29*(1+Inputs!$F$30*Inputs!$F$31/12)/Inputs!$F$31</f>
        <v/>
      </c>
      <c r="Q16" s="58">
        <f>P16-N16</f>
        <v/>
      </c>
      <c r="R16" s="59">
        <f>IF(Q16&gt;=0,1,0)</f>
        <v/>
      </c>
    </row>
    <row r="17">
      <c r="A17" s="60">
        <f>A16+5000</f>
        <v/>
      </c>
      <c r="B17" s="56">
        <f>A17*Inputs!$E$6</f>
        <v/>
      </c>
      <c r="C17" s="56">
        <f>MIN(B17,Inputs!$E$34)</f>
        <v/>
      </c>
      <c r="D17" s="56">
        <f>Inputs!$E$33+MAX(0,MIN(B17,Inputs!$E$35)-MAX(0,C17))*Inputs!$E$36+MAX(0,MIN(B17,Inputs!$E$37)-MAX(Inputs!$E$35,C17))*Inputs!$E$38+MAX(0,MIN(B17,Inputs!$E$39)-MAX(Inputs!$E$37,C17))*Inputs!$E$40+MAX(0,B17-MAX(Inputs!$E$39,C17))*Inputs!$E$41</f>
        <v/>
      </c>
      <c r="E17" s="57">
        <f>(B17*(Inputs!$D$16-Inputs!$D$20/10000)+D17)/B17</f>
        <v/>
      </c>
      <c r="F17" s="56">
        <f>B17*Inputs!$D$20/10000+(B17/Inputs!$D$22*Inputs!$D$23+B17*Inputs!$D$25)*(Inputs!$D$13-Inputs!$D$14*E17)+Inputs!$D$27*Inputs!$D$28*Inputs!$D$29*(1+Inputs!$D$30*Inputs!$D$31/12)/Inputs!$D$31</f>
        <v/>
      </c>
      <c r="G17" s="58">
        <f>F17-D17</f>
        <v/>
      </c>
      <c r="H17" s="59">
        <f>IF(G17&gt;=0,1,0)</f>
        <v/>
      </c>
      <c r="I17" s="56">
        <f>Inputs!$E$33+MAX(0,MIN(B17,Inputs!$E$35)-MAX(0,C17))*Inputs!$E$36+MAX(0,MIN(B17,Inputs!$E$37)-MAX(Inputs!$E$35,C17))*Inputs!$E$38+MAX(0,MIN(B17,Inputs!$E$39)-MAX(Inputs!$E$37,C17))*Inputs!$E$40+MAX(0,B17-MAX(Inputs!$E$39,C17))*Inputs!$E$41</f>
        <v/>
      </c>
      <c r="J17" s="57">
        <f>(B17*(Inputs!$E$16-Inputs!$E$20/10000)+I17)/B17</f>
        <v/>
      </c>
      <c r="K17" s="56">
        <f>B17*Inputs!$E$20/10000+(B17/Inputs!$E$22*Inputs!$E$23+B17*Inputs!$E$25)*(Inputs!$E$13-Inputs!$E$14*J17)+Inputs!$E$27*Inputs!$E$28*Inputs!$E$29*(1+Inputs!$E$30*Inputs!$E$31/12)/Inputs!$E$31</f>
        <v/>
      </c>
      <c r="L17" s="58">
        <f>K17-I17</f>
        <v/>
      </c>
      <c r="M17" s="59">
        <f>IF(L17&gt;=0,1,0)</f>
        <v/>
      </c>
      <c r="N17" s="56">
        <f>Inputs!$E$33+MAX(0,MIN(B17,Inputs!$E$35)-MAX(0,C17))*Inputs!$E$36+MAX(0,MIN(B17,Inputs!$E$37)-MAX(Inputs!$E$35,C17))*Inputs!$E$38+MAX(0,MIN(B17,Inputs!$E$39)-MAX(Inputs!$E$37,C17))*Inputs!$E$40+MAX(0,B17-MAX(Inputs!$E$39,C17))*Inputs!$E$41</f>
        <v/>
      </c>
      <c r="O17" s="57">
        <f>(B17*(Inputs!$F$16-Inputs!$F$20/10000)+N17)/B17</f>
        <v/>
      </c>
      <c r="P17" s="56">
        <f>B17*Inputs!$F$20/10000+(B17/Inputs!$F$22*Inputs!$F$23+B17*Inputs!$F$25)*(Inputs!$F$13-Inputs!$F$14*O17)+Inputs!$F$27*Inputs!$F$28*Inputs!$F$29*(1+Inputs!$F$30*Inputs!$F$31/12)/Inputs!$F$31</f>
        <v/>
      </c>
      <c r="Q17" s="58">
        <f>P17-N17</f>
        <v/>
      </c>
      <c r="R17" s="59">
        <f>IF(Q17&gt;=0,1,0)</f>
        <v/>
      </c>
    </row>
    <row r="18">
      <c r="A18" s="60">
        <f>A17+5000</f>
        <v/>
      </c>
      <c r="B18" s="56">
        <f>A18*Inputs!$E$6</f>
        <v/>
      </c>
      <c r="C18" s="56">
        <f>MIN(B18,Inputs!$E$34)</f>
        <v/>
      </c>
      <c r="D18" s="56">
        <f>Inputs!$E$33+MAX(0,MIN(B18,Inputs!$E$35)-MAX(0,C18))*Inputs!$E$36+MAX(0,MIN(B18,Inputs!$E$37)-MAX(Inputs!$E$35,C18))*Inputs!$E$38+MAX(0,MIN(B18,Inputs!$E$39)-MAX(Inputs!$E$37,C18))*Inputs!$E$40+MAX(0,B18-MAX(Inputs!$E$39,C18))*Inputs!$E$41</f>
        <v/>
      </c>
      <c r="E18" s="57">
        <f>(B18*(Inputs!$D$16-Inputs!$D$20/10000)+D18)/B18</f>
        <v/>
      </c>
      <c r="F18" s="56">
        <f>B18*Inputs!$D$20/10000+(B18/Inputs!$D$22*Inputs!$D$23+B18*Inputs!$D$25)*(Inputs!$D$13-Inputs!$D$14*E18)+Inputs!$D$27*Inputs!$D$28*Inputs!$D$29*(1+Inputs!$D$30*Inputs!$D$31/12)/Inputs!$D$31</f>
        <v/>
      </c>
      <c r="G18" s="58">
        <f>F18-D18</f>
        <v/>
      </c>
      <c r="H18" s="59">
        <f>IF(G18&gt;=0,1,0)</f>
        <v/>
      </c>
      <c r="I18" s="56">
        <f>Inputs!$E$33+MAX(0,MIN(B18,Inputs!$E$35)-MAX(0,C18))*Inputs!$E$36+MAX(0,MIN(B18,Inputs!$E$37)-MAX(Inputs!$E$35,C18))*Inputs!$E$38+MAX(0,MIN(B18,Inputs!$E$39)-MAX(Inputs!$E$37,C18))*Inputs!$E$40+MAX(0,B18-MAX(Inputs!$E$39,C18))*Inputs!$E$41</f>
        <v/>
      </c>
      <c r="J18" s="57">
        <f>(B18*(Inputs!$E$16-Inputs!$E$20/10000)+I18)/B18</f>
        <v/>
      </c>
      <c r="K18" s="56">
        <f>B18*Inputs!$E$20/10000+(B18/Inputs!$E$22*Inputs!$E$23+B18*Inputs!$E$25)*(Inputs!$E$13-Inputs!$E$14*J18)+Inputs!$E$27*Inputs!$E$28*Inputs!$E$29*(1+Inputs!$E$30*Inputs!$E$31/12)/Inputs!$E$31</f>
        <v/>
      </c>
      <c r="L18" s="58">
        <f>K18-I18</f>
        <v/>
      </c>
      <c r="M18" s="59">
        <f>IF(L18&gt;=0,1,0)</f>
        <v/>
      </c>
      <c r="N18" s="56">
        <f>Inputs!$E$33+MAX(0,MIN(B18,Inputs!$E$35)-MAX(0,C18))*Inputs!$E$36+MAX(0,MIN(B18,Inputs!$E$37)-MAX(Inputs!$E$35,C18))*Inputs!$E$38+MAX(0,MIN(B18,Inputs!$E$39)-MAX(Inputs!$E$37,C18))*Inputs!$E$40+MAX(0,B18-MAX(Inputs!$E$39,C18))*Inputs!$E$41</f>
        <v/>
      </c>
      <c r="O18" s="57">
        <f>(B18*(Inputs!$F$16-Inputs!$F$20/10000)+N18)/B18</f>
        <v/>
      </c>
      <c r="P18" s="56">
        <f>B18*Inputs!$F$20/10000+(B18/Inputs!$F$22*Inputs!$F$23+B18*Inputs!$F$25)*(Inputs!$F$13-Inputs!$F$14*O18)+Inputs!$F$27*Inputs!$F$28*Inputs!$F$29*(1+Inputs!$F$30*Inputs!$F$31/12)/Inputs!$F$31</f>
        <v/>
      </c>
      <c r="Q18" s="58">
        <f>P18-N18</f>
        <v/>
      </c>
      <c r="R18" s="59">
        <f>IF(Q18&gt;=0,1,0)</f>
        <v/>
      </c>
    </row>
    <row r="19">
      <c r="A19" s="60">
        <f>A18+5000</f>
        <v/>
      </c>
      <c r="B19" s="56">
        <f>A19*Inputs!$E$6</f>
        <v/>
      </c>
      <c r="C19" s="56">
        <f>MIN(B19,Inputs!$E$34)</f>
        <v/>
      </c>
      <c r="D19" s="56">
        <f>Inputs!$E$33+MAX(0,MIN(B19,Inputs!$E$35)-MAX(0,C19))*Inputs!$E$36+MAX(0,MIN(B19,Inputs!$E$37)-MAX(Inputs!$E$35,C19))*Inputs!$E$38+MAX(0,MIN(B19,Inputs!$E$39)-MAX(Inputs!$E$37,C19))*Inputs!$E$40+MAX(0,B19-MAX(Inputs!$E$39,C19))*Inputs!$E$41</f>
        <v/>
      </c>
      <c r="E19" s="57">
        <f>(B19*(Inputs!$D$16-Inputs!$D$20/10000)+D19)/B19</f>
        <v/>
      </c>
      <c r="F19" s="56">
        <f>B19*Inputs!$D$20/10000+(B19/Inputs!$D$22*Inputs!$D$23+B19*Inputs!$D$25)*(Inputs!$D$13-Inputs!$D$14*E19)+Inputs!$D$27*Inputs!$D$28*Inputs!$D$29*(1+Inputs!$D$30*Inputs!$D$31/12)/Inputs!$D$31</f>
        <v/>
      </c>
      <c r="G19" s="58">
        <f>F19-D19</f>
        <v/>
      </c>
      <c r="H19" s="59">
        <f>IF(G19&gt;=0,1,0)</f>
        <v/>
      </c>
      <c r="I19" s="56">
        <f>Inputs!$E$33+MAX(0,MIN(B19,Inputs!$E$35)-MAX(0,C19))*Inputs!$E$36+MAX(0,MIN(B19,Inputs!$E$37)-MAX(Inputs!$E$35,C19))*Inputs!$E$38+MAX(0,MIN(B19,Inputs!$E$39)-MAX(Inputs!$E$37,C19))*Inputs!$E$40+MAX(0,B19-MAX(Inputs!$E$39,C19))*Inputs!$E$41</f>
        <v/>
      </c>
      <c r="J19" s="57">
        <f>(B19*(Inputs!$E$16-Inputs!$E$20/10000)+I19)/B19</f>
        <v/>
      </c>
      <c r="K19" s="56">
        <f>B19*Inputs!$E$20/10000+(B19/Inputs!$E$22*Inputs!$E$23+B19*Inputs!$E$25)*(Inputs!$E$13-Inputs!$E$14*J19)+Inputs!$E$27*Inputs!$E$28*Inputs!$E$29*(1+Inputs!$E$30*Inputs!$E$31/12)/Inputs!$E$31</f>
        <v/>
      </c>
      <c r="L19" s="58">
        <f>K19-I19</f>
        <v/>
      </c>
      <c r="M19" s="59">
        <f>IF(L19&gt;=0,1,0)</f>
        <v/>
      </c>
      <c r="N19" s="56">
        <f>Inputs!$E$33+MAX(0,MIN(B19,Inputs!$E$35)-MAX(0,C19))*Inputs!$E$36+MAX(0,MIN(B19,Inputs!$E$37)-MAX(Inputs!$E$35,C19))*Inputs!$E$38+MAX(0,MIN(B19,Inputs!$E$39)-MAX(Inputs!$E$37,C19))*Inputs!$E$40+MAX(0,B19-MAX(Inputs!$E$39,C19))*Inputs!$E$41</f>
        <v/>
      </c>
      <c r="O19" s="57">
        <f>(B19*(Inputs!$F$16-Inputs!$F$20/10000)+N19)/B19</f>
        <v/>
      </c>
      <c r="P19" s="56">
        <f>B19*Inputs!$F$20/10000+(B19/Inputs!$F$22*Inputs!$F$23+B19*Inputs!$F$25)*(Inputs!$F$13-Inputs!$F$14*O19)+Inputs!$F$27*Inputs!$F$28*Inputs!$F$29*(1+Inputs!$F$30*Inputs!$F$31/12)/Inputs!$F$31</f>
        <v/>
      </c>
      <c r="Q19" s="58">
        <f>P19-N19</f>
        <v/>
      </c>
      <c r="R19" s="59">
        <f>IF(Q19&gt;=0,1,0)</f>
        <v/>
      </c>
    </row>
    <row r="20">
      <c r="A20" s="60">
        <f>A19+5000</f>
        <v/>
      </c>
      <c r="B20" s="56">
        <f>A20*Inputs!$E$6</f>
        <v/>
      </c>
      <c r="C20" s="56">
        <f>MIN(B20,Inputs!$E$34)</f>
        <v/>
      </c>
      <c r="D20" s="56">
        <f>Inputs!$E$33+MAX(0,MIN(B20,Inputs!$E$35)-MAX(0,C20))*Inputs!$E$36+MAX(0,MIN(B20,Inputs!$E$37)-MAX(Inputs!$E$35,C20))*Inputs!$E$38+MAX(0,MIN(B20,Inputs!$E$39)-MAX(Inputs!$E$37,C20))*Inputs!$E$40+MAX(0,B20-MAX(Inputs!$E$39,C20))*Inputs!$E$41</f>
        <v/>
      </c>
      <c r="E20" s="57">
        <f>(B20*(Inputs!$D$16-Inputs!$D$20/10000)+D20)/B20</f>
        <v/>
      </c>
      <c r="F20" s="56">
        <f>B20*Inputs!$D$20/10000+(B20/Inputs!$D$22*Inputs!$D$23+B20*Inputs!$D$25)*(Inputs!$D$13-Inputs!$D$14*E20)+Inputs!$D$27*Inputs!$D$28*Inputs!$D$29*(1+Inputs!$D$30*Inputs!$D$31/12)/Inputs!$D$31</f>
        <v/>
      </c>
      <c r="G20" s="58">
        <f>F20-D20</f>
        <v/>
      </c>
      <c r="H20" s="59">
        <f>IF(G20&gt;=0,1,0)</f>
        <v/>
      </c>
      <c r="I20" s="56">
        <f>Inputs!$E$33+MAX(0,MIN(B20,Inputs!$E$35)-MAX(0,C20))*Inputs!$E$36+MAX(0,MIN(B20,Inputs!$E$37)-MAX(Inputs!$E$35,C20))*Inputs!$E$38+MAX(0,MIN(B20,Inputs!$E$39)-MAX(Inputs!$E$37,C20))*Inputs!$E$40+MAX(0,B20-MAX(Inputs!$E$39,C20))*Inputs!$E$41</f>
        <v/>
      </c>
      <c r="J20" s="57">
        <f>(B20*(Inputs!$E$16-Inputs!$E$20/10000)+I20)/B20</f>
        <v/>
      </c>
      <c r="K20" s="56">
        <f>B20*Inputs!$E$20/10000+(B20/Inputs!$E$22*Inputs!$E$23+B20*Inputs!$E$25)*(Inputs!$E$13-Inputs!$E$14*J20)+Inputs!$E$27*Inputs!$E$28*Inputs!$E$29*(1+Inputs!$E$30*Inputs!$E$31/12)/Inputs!$E$31</f>
        <v/>
      </c>
      <c r="L20" s="58">
        <f>K20-I20</f>
        <v/>
      </c>
      <c r="M20" s="59">
        <f>IF(L20&gt;=0,1,0)</f>
        <v/>
      </c>
      <c r="N20" s="56">
        <f>Inputs!$E$33+MAX(0,MIN(B20,Inputs!$E$35)-MAX(0,C20))*Inputs!$E$36+MAX(0,MIN(B20,Inputs!$E$37)-MAX(Inputs!$E$35,C20))*Inputs!$E$38+MAX(0,MIN(B20,Inputs!$E$39)-MAX(Inputs!$E$37,C20))*Inputs!$E$40+MAX(0,B20-MAX(Inputs!$E$39,C20))*Inputs!$E$41</f>
        <v/>
      </c>
      <c r="O20" s="57">
        <f>(B20*(Inputs!$F$16-Inputs!$F$20/10000)+N20)/B20</f>
        <v/>
      </c>
      <c r="P20" s="56">
        <f>B20*Inputs!$F$20/10000+(B20/Inputs!$F$22*Inputs!$F$23+B20*Inputs!$F$25)*(Inputs!$F$13-Inputs!$F$14*O20)+Inputs!$F$27*Inputs!$F$28*Inputs!$F$29*(1+Inputs!$F$30*Inputs!$F$31/12)/Inputs!$F$31</f>
        <v/>
      </c>
      <c r="Q20" s="58">
        <f>P20-N20</f>
        <v/>
      </c>
      <c r="R20" s="59">
        <f>IF(Q20&gt;=0,1,0)</f>
        <v/>
      </c>
    </row>
    <row r="21">
      <c r="A21" s="60">
        <f>A20+5000</f>
        <v/>
      </c>
      <c r="B21" s="56">
        <f>A21*Inputs!$E$6</f>
        <v/>
      </c>
      <c r="C21" s="56">
        <f>MIN(B21,Inputs!$E$34)</f>
        <v/>
      </c>
      <c r="D21" s="56">
        <f>Inputs!$E$33+MAX(0,MIN(B21,Inputs!$E$35)-MAX(0,C21))*Inputs!$E$36+MAX(0,MIN(B21,Inputs!$E$37)-MAX(Inputs!$E$35,C21))*Inputs!$E$38+MAX(0,MIN(B21,Inputs!$E$39)-MAX(Inputs!$E$37,C21))*Inputs!$E$40+MAX(0,B21-MAX(Inputs!$E$39,C21))*Inputs!$E$41</f>
        <v/>
      </c>
      <c r="E21" s="57">
        <f>(B21*(Inputs!$D$16-Inputs!$D$20/10000)+D21)/B21</f>
        <v/>
      </c>
      <c r="F21" s="56">
        <f>B21*Inputs!$D$20/10000+(B21/Inputs!$D$22*Inputs!$D$23+B21*Inputs!$D$25)*(Inputs!$D$13-Inputs!$D$14*E21)+Inputs!$D$27*Inputs!$D$28*Inputs!$D$29*(1+Inputs!$D$30*Inputs!$D$31/12)/Inputs!$D$31</f>
        <v/>
      </c>
      <c r="G21" s="58">
        <f>F21-D21</f>
        <v/>
      </c>
      <c r="H21" s="59">
        <f>IF(G21&gt;=0,1,0)</f>
        <v/>
      </c>
      <c r="I21" s="56">
        <f>Inputs!$E$33+MAX(0,MIN(B21,Inputs!$E$35)-MAX(0,C21))*Inputs!$E$36+MAX(0,MIN(B21,Inputs!$E$37)-MAX(Inputs!$E$35,C21))*Inputs!$E$38+MAX(0,MIN(B21,Inputs!$E$39)-MAX(Inputs!$E$37,C21))*Inputs!$E$40+MAX(0,B21-MAX(Inputs!$E$39,C21))*Inputs!$E$41</f>
        <v/>
      </c>
      <c r="J21" s="57">
        <f>(B21*(Inputs!$E$16-Inputs!$E$20/10000)+I21)/B21</f>
        <v/>
      </c>
      <c r="K21" s="56">
        <f>B21*Inputs!$E$20/10000+(B21/Inputs!$E$22*Inputs!$E$23+B21*Inputs!$E$25)*(Inputs!$E$13-Inputs!$E$14*J21)+Inputs!$E$27*Inputs!$E$28*Inputs!$E$29*(1+Inputs!$E$30*Inputs!$E$31/12)/Inputs!$E$31</f>
        <v/>
      </c>
      <c r="L21" s="58">
        <f>K21-I21</f>
        <v/>
      </c>
      <c r="M21" s="59">
        <f>IF(L21&gt;=0,1,0)</f>
        <v/>
      </c>
      <c r="N21" s="56">
        <f>Inputs!$E$33+MAX(0,MIN(B21,Inputs!$E$35)-MAX(0,C21))*Inputs!$E$36+MAX(0,MIN(B21,Inputs!$E$37)-MAX(Inputs!$E$35,C21))*Inputs!$E$38+MAX(0,MIN(B21,Inputs!$E$39)-MAX(Inputs!$E$37,C21))*Inputs!$E$40+MAX(0,B21-MAX(Inputs!$E$39,C21))*Inputs!$E$41</f>
        <v/>
      </c>
      <c r="O21" s="57">
        <f>(B21*(Inputs!$F$16-Inputs!$F$20/10000)+N21)/B21</f>
        <v/>
      </c>
      <c r="P21" s="56">
        <f>B21*Inputs!$F$20/10000+(B21/Inputs!$F$22*Inputs!$F$23+B21*Inputs!$F$25)*(Inputs!$F$13-Inputs!$F$14*O21)+Inputs!$F$27*Inputs!$F$28*Inputs!$F$29*(1+Inputs!$F$30*Inputs!$F$31/12)/Inputs!$F$31</f>
        <v/>
      </c>
      <c r="Q21" s="58">
        <f>P21-N21</f>
        <v/>
      </c>
      <c r="R21" s="59">
        <f>IF(Q21&gt;=0,1,0)</f>
        <v/>
      </c>
    </row>
    <row r="22">
      <c r="A22" s="60">
        <f>A21+5000</f>
        <v/>
      </c>
      <c r="B22" s="56">
        <f>A22*Inputs!$E$6</f>
        <v/>
      </c>
      <c r="C22" s="56">
        <f>MIN(B22,Inputs!$E$34)</f>
        <v/>
      </c>
      <c r="D22" s="56">
        <f>Inputs!$E$33+MAX(0,MIN(B22,Inputs!$E$35)-MAX(0,C22))*Inputs!$E$36+MAX(0,MIN(B22,Inputs!$E$37)-MAX(Inputs!$E$35,C22))*Inputs!$E$38+MAX(0,MIN(B22,Inputs!$E$39)-MAX(Inputs!$E$37,C22))*Inputs!$E$40+MAX(0,B22-MAX(Inputs!$E$39,C22))*Inputs!$E$41</f>
        <v/>
      </c>
      <c r="E22" s="57">
        <f>(B22*(Inputs!$D$16-Inputs!$D$20/10000)+D22)/B22</f>
        <v/>
      </c>
      <c r="F22" s="56">
        <f>B22*Inputs!$D$20/10000+(B22/Inputs!$D$22*Inputs!$D$23+B22*Inputs!$D$25)*(Inputs!$D$13-Inputs!$D$14*E22)+Inputs!$D$27*Inputs!$D$28*Inputs!$D$29*(1+Inputs!$D$30*Inputs!$D$31/12)/Inputs!$D$31</f>
        <v/>
      </c>
      <c r="G22" s="58">
        <f>F22-D22</f>
        <v/>
      </c>
      <c r="H22" s="59">
        <f>IF(G22&gt;=0,1,0)</f>
        <v/>
      </c>
      <c r="I22" s="56">
        <f>Inputs!$E$33+MAX(0,MIN(B22,Inputs!$E$35)-MAX(0,C22))*Inputs!$E$36+MAX(0,MIN(B22,Inputs!$E$37)-MAX(Inputs!$E$35,C22))*Inputs!$E$38+MAX(0,MIN(B22,Inputs!$E$39)-MAX(Inputs!$E$37,C22))*Inputs!$E$40+MAX(0,B22-MAX(Inputs!$E$39,C22))*Inputs!$E$41</f>
        <v/>
      </c>
      <c r="J22" s="57">
        <f>(B22*(Inputs!$E$16-Inputs!$E$20/10000)+I22)/B22</f>
        <v/>
      </c>
      <c r="K22" s="56">
        <f>B22*Inputs!$E$20/10000+(B22/Inputs!$E$22*Inputs!$E$23+B22*Inputs!$E$25)*(Inputs!$E$13-Inputs!$E$14*J22)+Inputs!$E$27*Inputs!$E$28*Inputs!$E$29*(1+Inputs!$E$30*Inputs!$E$31/12)/Inputs!$E$31</f>
        <v/>
      </c>
      <c r="L22" s="58">
        <f>K22-I22</f>
        <v/>
      </c>
      <c r="M22" s="59">
        <f>IF(L22&gt;=0,1,0)</f>
        <v/>
      </c>
      <c r="N22" s="56">
        <f>Inputs!$E$33+MAX(0,MIN(B22,Inputs!$E$35)-MAX(0,C22))*Inputs!$E$36+MAX(0,MIN(B22,Inputs!$E$37)-MAX(Inputs!$E$35,C22))*Inputs!$E$38+MAX(0,MIN(B22,Inputs!$E$39)-MAX(Inputs!$E$37,C22))*Inputs!$E$40+MAX(0,B22-MAX(Inputs!$E$39,C22))*Inputs!$E$41</f>
        <v/>
      </c>
      <c r="O22" s="57">
        <f>(B22*(Inputs!$F$16-Inputs!$F$20/10000)+N22)/B22</f>
        <v/>
      </c>
      <c r="P22" s="56">
        <f>B22*Inputs!$F$20/10000+(B22/Inputs!$F$22*Inputs!$F$23+B22*Inputs!$F$25)*(Inputs!$F$13-Inputs!$F$14*O22)+Inputs!$F$27*Inputs!$F$28*Inputs!$F$29*(1+Inputs!$F$30*Inputs!$F$31/12)/Inputs!$F$31</f>
        <v/>
      </c>
      <c r="Q22" s="58">
        <f>P22-N22</f>
        <v/>
      </c>
      <c r="R22" s="59">
        <f>IF(Q22&gt;=0,1,0)</f>
        <v/>
      </c>
    </row>
    <row r="23">
      <c r="A23" s="60">
        <f>A22+5000</f>
        <v/>
      </c>
      <c r="B23" s="56">
        <f>A23*Inputs!$E$6</f>
        <v/>
      </c>
      <c r="C23" s="56">
        <f>MIN(B23,Inputs!$E$34)</f>
        <v/>
      </c>
      <c r="D23" s="56">
        <f>Inputs!$E$33+MAX(0,MIN(B23,Inputs!$E$35)-MAX(0,C23))*Inputs!$E$36+MAX(0,MIN(B23,Inputs!$E$37)-MAX(Inputs!$E$35,C23))*Inputs!$E$38+MAX(0,MIN(B23,Inputs!$E$39)-MAX(Inputs!$E$37,C23))*Inputs!$E$40+MAX(0,B23-MAX(Inputs!$E$39,C23))*Inputs!$E$41</f>
        <v/>
      </c>
      <c r="E23" s="57">
        <f>(B23*(Inputs!$D$16-Inputs!$D$20/10000)+D23)/B23</f>
        <v/>
      </c>
      <c r="F23" s="56">
        <f>B23*Inputs!$D$20/10000+(B23/Inputs!$D$22*Inputs!$D$23+B23*Inputs!$D$25)*(Inputs!$D$13-Inputs!$D$14*E23)+Inputs!$D$27*Inputs!$D$28*Inputs!$D$29*(1+Inputs!$D$30*Inputs!$D$31/12)/Inputs!$D$31</f>
        <v/>
      </c>
      <c r="G23" s="58">
        <f>F23-D23</f>
        <v/>
      </c>
      <c r="H23" s="59">
        <f>IF(G23&gt;=0,1,0)</f>
        <v/>
      </c>
      <c r="I23" s="56">
        <f>Inputs!$E$33+MAX(0,MIN(B23,Inputs!$E$35)-MAX(0,C23))*Inputs!$E$36+MAX(0,MIN(B23,Inputs!$E$37)-MAX(Inputs!$E$35,C23))*Inputs!$E$38+MAX(0,MIN(B23,Inputs!$E$39)-MAX(Inputs!$E$37,C23))*Inputs!$E$40+MAX(0,B23-MAX(Inputs!$E$39,C23))*Inputs!$E$41</f>
        <v/>
      </c>
      <c r="J23" s="57">
        <f>(B23*(Inputs!$E$16-Inputs!$E$20/10000)+I23)/B23</f>
        <v/>
      </c>
      <c r="K23" s="56">
        <f>B23*Inputs!$E$20/10000+(B23/Inputs!$E$22*Inputs!$E$23+B23*Inputs!$E$25)*(Inputs!$E$13-Inputs!$E$14*J23)+Inputs!$E$27*Inputs!$E$28*Inputs!$E$29*(1+Inputs!$E$30*Inputs!$E$31/12)/Inputs!$E$31</f>
        <v/>
      </c>
      <c r="L23" s="58">
        <f>K23-I23</f>
        <v/>
      </c>
      <c r="M23" s="59">
        <f>IF(L23&gt;=0,1,0)</f>
        <v/>
      </c>
      <c r="N23" s="56">
        <f>Inputs!$E$33+MAX(0,MIN(B23,Inputs!$E$35)-MAX(0,C23))*Inputs!$E$36+MAX(0,MIN(B23,Inputs!$E$37)-MAX(Inputs!$E$35,C23))*Inputs!$E$38+MAX(0,MIN(B23,Inputs!$E$39)-MAX(Inputs!$E$37,C23))*Inputs!$E$40+MAX(0,B23-MAX(Inputs!$E$39,C23))*Inputs!$E$41</f>
        <v/>
      </c>
      <c r="O23" s="57">
        <f>(B23*(Inputs!$F$16-Inputs!$F$20/10000)+N23)/B23</f>
        <v/>
      </c>
      <c r="P23" s="56">
        <f>B23*Inputs!$F$20/10000+(B23/Inputs!$F$22*Inputs!$F$23+B23*Inputs!$F$25)*(Inputs!$F$13-Inputs!$F$14*O23)+Inputs!$F$27*Inputs!$F$28*Inputs!$F$29*(1+Inputs!$F$30*Inputs!$F$31/12)/Inputs!$F$31</f>
        <v/>
      </c>
      <c r="Q23" s="58">
        <f>P23-N23</f>
        <v/>
      </c>
      <c r="R23" s="59">
        <f>IF(Q23&gt;=0,1,0)</f>
        <v/>
      </c>
    </row>
    <row r="24">
      <c r="A24" s="60">
        <f>A23+5000</f>
        <v/>
      </c>
      <c r="B24" s="56">
        <f>A24*Inputs!$E$6</f>
        <v/>
      </c>
      <c r="C24" s="56">
        <f>MIN(B24,Inputs!$E$34)</f>
        <v/>
      </c>
      <c r="D24" s="56">
        <f>Inputs!$E$33+MAX(0,MIN(B24,Inputs!$E$35)-MAX(0,C24))*Inputs!$E$36+MAX(0,MIN(B24,Inputs!$E$37)-MAX(Inputs!$E$35,C24))*Inputs!$E$38+MAX(0,MIN(B24,Inputs!$E$39)-MAX(Inputs!$E$37,C24))*Inputs!$E$40+MAX(0,B24-MAX(Inputs!$E$39,C24))*Inputs!$E$41</f>
        <v/>
      </c>
      <c r="E24" s="57">
        <f>(B24*(Inputs!$D$16-Inputs!$D$20/10000)+D24)/B24</f>
        <v/>
      </c>
      <c r="F24" s="56">
        <f>B24*Inputs!$D$20/10000+(B24/Inputs!$D$22*Inputs!$D$23+B24*Inputs!$D$25)*(Inputs!$D$13-Inputs!$D$14*E24)+Inputs!$D$27*Inputs!$D$28*Inputs!$D$29*(1+Inputs!$D$30*Inputs!$D$31/12)/Inputs!$D$31</f>
        <v/>
      </c>
      <c r="G24" s="58">
        <f>F24-D24</f>
        <v/>
      </c>
      <c r="H24" s="59">
        <f>IF(G24&gt;=0,1,0)</f>
        <v/>
      </c>
      <c r="I24" s="56">
        <f>Inputs!$E$33+MAX(0,MIN(B24,Inputs!$E$35)-MAX(0,C24))*Inputs!$E$36+MAX(0,MIN(B24,Inputs!$E$37)-MAX(Inputs!$E$35,C24))*Inputs!$E$38+MAX(0,MIN(B24,Inputs!$E$39)-MAX(Inputs!$E$37,C24))*Inputs!$E$40+MAX(0,B24-MAX(Inputs!$E$39,C24))*Inputs!$E$41</f>
        <v/>
      </c>
      <c r="J24" s="57">
        <f>(B24*(Inputs!$E$16-Inputs!$E$20/10000)+I24)/B24</f>
        <v/>
      </c>
      <c r="K24" s="56">
        <f>B24*Inputs!$E$20/10000+(B24/Inputs!$E$22*Inputs!$E$23+B24*Inputs!$E$25)*(Inputs!$E$13-Inputs!$E$14*J24)+Inputs!$E$27*Inputs!$E$28*Inputs!$E$29*(1+Inputs!$E$30*Inputs!$E$31/12)/Inputs!$E$31</f>
        <v/>
      </c>
      <c r="L24" s="58">
        <f>K24-I24</f>
        <v/>
      </c>
      <c r="M24" s="59">
        <f>IF(L24&gt;=0,1,0)</f>
        <v/>
      </c>
      <c r="N24" s="56">
        <f>Inputs!$E$33+MAX(0,MIN(B24,Inputs!$E$35)-MAX(0,C24))*Inputs!$E$36+MAX(0,MIN(B24,Inputs!$E$37)-MAX(Inputs!$E$35,C24))*Inputs!$E$38+MAX(0,MIN(B24,Inputs!$E$39)-MAX(Inputs!$E$37,C24))*Inputs!$E$40+MAX(0,B24-MAX(Inputs!$E$39,C24))*Inputs!$E$41</f>
        <v/>
      </c>
      <c r="O24" s="57">
        <f>(B24*(Inputs!$F$16-Inputs!$F$20/10000)+N24)/B24</f>
        <v/>
      </c>
      <c r="P24" s="56">
        <f>B24*Inputs!$F$20/10000+(B24/Inputs!$F$22*Inputs!$F$23+B24*Inputs!$F$25)*(Inputs!$F$13-Inputs!$F$14*O24)+Inputs!$F$27*Inputs!$F$28*Inputs!$F$29*(1+Inputs!$F$30*Inputs!$F$31/12)/Inputs!$F$31</f>
        <v/>
      </c>
      <c r="Q24" s="58">
        <f>P24-N24</f>
        <v/>
      </c>
      <c r="R24" s="59">
        <f>IF(Q24&gt;=0,1,0)</f>
        <v/>
      </c>
    </row>
    <row r="25">
      <c r="A25" s="60">
        <f>A24+5000</f>
        <v/>
      </c>
      <c r="B25" s="56">
        <f>A25*Inputs!$E$6</f>
        <v/>
      </c>
      <c r="C25" s="56">
        <f>MIN(B25,Inputs!$E$34)</f>
        <v/>
      </c>
      <c r="D25" s="56">
        <f>Inputs!$E$33+MAX(0,MIN(B25,Inputs!$E$35)-MAX(0,C25))*Inputs!$E$36+MAX(0,MIN(B25,Inputs!$E$37)-MAX(Inputs!$E$35,C25))*Inputs!$E$38+MAX(0,MIN(B25,Inputs!$E$39)-MAX(Inputs!$E$37,C25))*Inputs!$E$40+MAX(0,B25-MAX(Inputs!$E$39,C25))*Inputs!$E$41</f>
        <v/>
      </c>
      <c r="E25" s="57">
        <f>(B25*(Inputs!$D$16-Inputs!$D$20/10000)+D25)/B25</f>
        <v/>
      </c>
      <c r="F25" s="56">
        <f>B25*Inputs!$D$20/10000+(B25/Inputs!$D$22*Inputs!$D$23+B25*Inputs!$D$25)*(Inputs!$D$13-Inputs!$D$14*E25)+Inputs!$D$27*Inputs!$D$28*Inputs!$D$29*(1+Inputs!$D$30*Inputs!$D$31/12)/Inputs!$D$31</f>
        <v/>
      </c>
      <c r="G25" s="58">
        <f>F25-D25</f>
        <v/>
      </c>
      <c r="H25" s="59">
        <f>IF(G25&gt;=0,1,0)</f>
        <v/>
      </c>
      <c r="I25" s="56">
        <f>Inputs!$E$33+MAX(0,MIN(B25,Inputs!$E$35)-MAX(0,C25))*Inputs!$E$36+MAX(0,MIN(B25,Inputs!$E$37)-MAX(Inputs!$E$35,C25))*Inputs!$E$38+MAX(0,MIN(B25,Inputs!$E$39)-MAX(Inputs!$E$37,C25))*Inputs!$E$40+MAX(0,B25-MAX(Inputs!$E$39,C25))*Inputs!$E$41</f>
        <v/>
      </c>
      <c r="J25" s="57">
        <f>(B25*(Inputs!$E$16-Inputs!$E$20/10000)+I25)/B25</f>
        <v/>
      </c>
      <c r="K25" s="56">
        <f>B25*Inputs!$E$20/10000+(B25/Inputs!$E$22*Inputs!$E$23+B25*Inputs!$E$25)*(Inputs!$E$13-Inputs!$E$14*J25)+Inputs!$E$27*Inputs!$E$28*Inputs!$E$29*(1+Inputs!$E$30*Inputs!$E$31/12)/Inputs!$E$31</f>
        <v/>
      </c>
      <c r="L25" s="58">
        <f>K25-I25</f>
        <v/>
      </c>
      <c r="M25" s="59">
        <f>IF(L25&gt;=0,1,0)</f>
        <v/>
      </c>
      <c r="N25" s="56">
        <f>Inputs!$E$33+MAX(0,MIN(B25,Inputs!$E$35)-MAX(0,C25))*Inputs!$E$36+MAX(0,MIN(B25,Inputs!$E$37)-MAX(Inputs!$E$35,C25))*Inputs!$E$38+MAX(0,MIN(B25,Inputs!$E$39)-MAX(Inputs!$E$37,C25))*Inputs!$E$40+MAX(0,B25-MAX(Inputs!$E$39,C25))*Inputs!$E$41</f>
        <v/>
      </c>
      <c r="O25" s="57">
        <f>(B25*(Inputs!$F$16-Inputs!$F$20/10000)+N25)/B25</f>
        <v/>
      </c>
      <c r="P25" s="56">
        <f>B25*Inputs!$F$20/10000+(B25/Inputs!$F$22*Inputs!$F$23+B25*Inputs!$F$25)*(Inputs!$F$13-Inputs!$F$14*O25)+Inputs!$F$27*Inputs!$F$28*Inputs!$F$29*(1+Inputs!$F$30*Inputs!$F$31/12)/Inputs!$F$31</f>
        <v/>
      </c>
      <c r="Q25" s="58">
        <f>P25-N25</f>
        <v/>
      </c>
      <c r="R25" s="59">
        <f>IF(Q25&gt;=0,1,0)</f>
        <v/>
      </c>
    </row>
    <row r="26">
      <c r="A26" s="60">
        <f>A25+5000</f>
        <v/>
      </c>
      <c r="B26" s="56">
        <f>A26*Inputs!$E$6</f>
        <v/>
      </c>
      <c r="C26" s="56">
        <f>MIN(B26,Inputs!$E$34)</f>
        <v/>
      </c>
      <c r="D26" s="56">
        <f>Inputs!$E$33+MAX(0,MIN(B26,Inputs!$E$35)-MAX(0,C26))*Inputs!$E$36+MAX(0,MIN(B26,Inputs!$E$37)-MAX(Inputs!$E$35,C26))*Inputs!$E$38+MAX(0,MIN(B26,Inputs!$E$39)-MAX(Inputs!$E$37,C26))*Inputs!$E$40+MAX(0,B26-MAX(Inputs!$E$39,C26))*Inputs!$E$41</f>
        <v/>
      </c>
      <c r="E26" s="57">
        <f>(B26*(Inputs!$D$16-Inputs!$D$20/10000)+D26)/B26</f>
        <v/>
      </c>
      <c r="F26" s="56">
        <f>B26*Inputs!$D$20/10000+(B26/Inputs!$D$22*Inputs!$D$23+B26*Inputs!$D$25)*(Inputs!$D$13-Inputs!$D$14*E26)+Inputs!$D$27*Inputs!$D$28*Inputs!$D$29*(1+Inputs!$D$30*Inputs!$D$31/12)/Inputs!$D$31</f>
        <v/>
      </c>
      <c r="G26" s="58">
        <f>F26-D26</f>
        <v/>
      </c>
      <c r="H26" s="59">
        <f>IF(G26&gt;=0,1,0)</f>
        <v/>
      </c>
      <c r="I26" s="56">
        <f>Inputs!$E$33+MAX(0,MIN(B26,Inputs!$E$35)-MAX(0,C26))*Inputs!$E$36+MAX(0,MIN(B26,Inputs!$E$37)-MAX(Inputs!$E$35,C26))*Inputs!$E$38+MAX(0,MIN(B26,Inputs!$E$39)-MAX(Inputs!$E$37,C26))*Inputs!$E$40+MAX(0,B26-MAX(Inputs!$E$39,C26))*Inputs!$E$41</f>
        <v/>
      </c>
      <c r="J26" s="57">
        <f>(B26*(Inputs!$E$16-Inputs!$E$20/10000)+I26)/B26</f>
        <v/>
      </c>
      <c r="K26" s="56">
        <f>B26*Inputs!$E$20/10000+(B26/Inputs!$E$22*Inputs!$E$23+B26*Inputs!$E$25)*(Inputs!$E$13-Inputs!$E$14*J26)+Inputs!$E$27*Inputs!$E$28*Inputs!$E$29*(1+Inputs!$E$30*Inputs!$E$31/12)/Inputs!$E$31</f>
        <v/>
      </c>
      <c r="L26" s="58">
        <f>K26-I26</f>
        <v/>
      </c>
      <c r="M26" s="59">
        <f>IF(L26&gt;=0,1,0)</f>
        <v/>
      </c>
      <c r="N26" s="56">
        <f>Inputs!$E$33+MAX(0,MIN(B26,Inputs!$E$35)-MAX(0,C26))*Inputs!$E$36+MAX(0,MIN(B26,Inputs!$E$37)-MAX(Inputs!$E$35,C26))*Inputs!$E$38+MAX(0,MIN(B26,Inputs!$E$39)-MAX(Inputs!$E$37,C26))*Inputs!$E$40+MAX(0,B26-MAX(Inputs!$E$39,C26))*Inputs!$E$41</f>
        <v/>
      </c>
      <c r="O26" s="57">
        <f>(B26*(Inputs!$F$16-Inputs!$F$20/10000)+N26)/B26</f>
        <v/>
      </c>
      <c r="P26" s="56">
        <f>B26*Inputs!$F$20/10000+(B26/Inputs!$F$22*Inputs!$F$23+B26*Inputs!$F$25)*(Inputs!$F$13-Inputs!$F$14*O26)+Inputs!$F$27*Inputs!$F$28*Inputs!$F$29*(1+Inputs!$F$30*Inputs!$F$31/12)/Inputs!$F$31</f>
        <v/>
      </c>
      <c r="Q26" s="58">
        <f>P26-N26</f>
        <v/>
      </c>
      <c r="R26" s="59">
        <f>IF(Q26&gt;=0,1,0)</f>
        <v/>
      </c>
    </row>
    <row r="27">
      <c r="A27" s="60">
        <f>A26+5000</f>
        <v/>
      </c>
      <c r="B27" s="56">
        <f>A27*Inputs!$E$6</f>
        <v/>
      </c>
      <c r="C27" s="56">
        <f>MIN(B27,Inputs!$E$34)</f>
        <v/>
      </c>
      <c r="D27" s="56">
        <f>Inputs!$E$33+MAX(0,MIN(B27,Inputs!$E$35)-MAX(0,C27))*Inputs!$E$36+MAX(0,MIN(B27,Inputs!$E$37)-MAX(Inputs!$E$35,C27))*Inputs!$E$38+MAX(0,MIN(B27,Inputs!$E$39)-MAX(Inputs!$E$37,C27))*Inputs!$E$40+MAX(0,B27-MAX(Inputs!$E$39,C27))*Inputs!$E$41</f>
        <v/>
      </c>
      <c r="E27" s="57">
        <f>(B27*(Inputs!$D$16-Inputs!$D$20/10000)+D27)/B27</f>
        <v/>
      </c>
      <c r="F27" s="56">
        <f>B27*Inputs!$D$20/10000+(B27/Inputs!$D$22*Inputs!$D$23+B27*Inputs!$D$25)*(Inputs!$D$13-Inputs!$D$14*E27)+Inputs!$D$27*Inputs!$D$28*Inputs!$D$29*(1+Inputs!$D$30*Inputs!$D$31/12)/Inputs!$D$31</f>
        <v/>
      </c>
      <c r="G27" s="58">
        <f>F27-D27</f>
        <v/>
      </c>
      <c r="H27" s="59">
        <f>IF(G27&gt;=0,1,0)</f>
        <v/>
      </c>
      <c r="I27" s="56">
        <f>Inputs!$E$33+MAX(0,MIN(B27,Inputs!$E$35)-MAX(0,C27))*Inputs!$E$36+MAX(0,MIN(B27,Inputs!$E$37)-MAX(Inputs!$E$35,C27))*Inputs!$E$38+MAX(0,MIN(B27,Inputs!$E$39)-MAX(Inputs!$E$37,C27))*Inputs!$E$40+MAX(0,B27-MAX(Inputs!$E$39,C27))*Inputs!$E$41</f>
        <v/>
      </c>
      <c r="J27" s="57">
        <f>(B27*(Inputs!$E$16-Inputs!$E$20/10000)+I27)/B27</f>
        <v/>
      </c>
      <c r="K27" s="56">
        <f>B27*Inputs!$E$20/10000+(B27/Inputs!$E$22*Inputs!$E$23+B27*Inputs!$E$25)*(Inputs!$E$13-Inputs!$E$14*J27)+Inputs!$E$27*Inputs!$E$28*Inputs!$E$29*(1+Inputs!$E$30*Inputs!$E$31/12)/Inputs!$E$31</f>
        <v/>
      </c>
      <c r="L27" s="58">
        <f>K27-I27</f>
        <v/>
      </c>
      <c r="M27" s="59">
        <f>IF(L27&gt;=0,1,0)</f>
        <v/>
      </c>
      <c r="N27" s="56">
        <f>Inputs!$E$33+MAX(0,MIN(B27,Inputs!$E$35)-MAX(0,C27))*Inputs!$E$36+MAX(0,MIN(B27,Inputs!$E$37)-MAX(Inputs!$E$35,C27))*Inputs!$E$38+MAX(0,MIN(B27,Inputs!$E$39)-MAX(Inputs!$E$37,C27))*Inputs!$E$40+MAX(0,B27-MAX(Inputs!$E$39,C27))*Inputs!$E$41</f>
        <v/>
      </c>
      <c r="O27" s="57">
        <f>(B27*(Inputs!$F$16-Inputs!$F$20/10000)+N27)/B27</f>
        <v/>
      </c>
      <c r="P27" s="56">
        <f>B27*Inputs!$F$20/10000+(B27/Inputs!$F$22*Inputs!$F$23+B27*Inputs!$F$25)*(Inputs!$F$13-Inputs!$F$14*O27)+Inputs!$F$27*Inputs!$F$28*Inputs!$F$29*(1+Inputs!$F$30*Inputs!$F$31/12)/Inputs!$F$31</f>
        <v/>
      </c>
      <c r="Q27" s="58">
        <f>P27-N27</f>
        <v/>
      </c>
      <c r="R27" s="59">
        <f>IF(Q27&gt;=0,1,0)</f>
        <v/>
      </c>
    </row>
    <row r="28">
      <c r="A28" s="60">
        <f>A27+5000</f>
        <v/>
      </c>
      <c r="B28" s="56">
        <f>A28*Inputs!$E$6</f>
        <v/>
      </c>
      <c r="C28" s="56">
        <f>MIN(B28,Inputs!$E$34)</f>
        <v/>
      </c>
      <c r="D28" s="56">
        <f>Inputs!$E$33+MAX(0,MIN(B28,Inputs!$E$35)-MAX(0,C28))*Inputs!$E$36+MAX(0,MIN(B28,Inputs!$E$37)-MAX(Inputs!$E$35,C28))*Inputs!$E$38+MAX(0,MIN(B28,Inputs!$E$39)-MAX(Inputs!$E$37,C28))*Inputs!$E$40+MAX(0,B28-MAX(Inputs!$E$39,C28))*Inputs!$E$41</f>
        <v/>
      </c>
      <c r="E28" s="57">
        <f>(B28*(Inputs!$D$16-Inputs!$D$20/10000)+D28)/B28</f>
        <v/>
      </c>
      <c r="F28" s="56">
        <f>B28*Inputs!$D$20/10000+(B28/Inputs!$D$22*Inputs!$D$23+B28*Inputs!$D$25)*(Inputs!$D$13-Inputs!$D$14*E28)+Inputs!$D$27*Inputs!$D$28*Inputs!$D$29*(1+Inputs!$D$30*Inputs!$D$31/12)/Inputs!$D$31</f>
        <v/>
      </c>
      <c r="G28" s="58">
        <f>F28-D28</f>
        <v/>
      </c>
      <c r="H28" s="59">
        <f>IF(G28&gt;=0,1,0)</f>
        <v/>
      </c>
      <c r="I28" s="56">
        <f>Inputs!$E$33+MAX(0,MIN(B28,Inputs!$E$35)-MAX(0,C28))*Inputs!$E$36+MAX(0,MIN(B28,Inputs!$E$37)-MAX(Inputs!$E$35,C28))*Inputs!$E$38+MAX(0,MIN(B28,Inputs!$E$39)-MAX(Inputs!$E$37,C28))*Inputs!$E$40+MAX(0,B28-MAX(Inputs!$E$39,C28))*Inputs!$E$41</f>
        <v/>
      </c>
      <c r="J28" s="57">
        <f>(B28*(Inputs!$E$16-Inputs!$E$20/10000)+I28)/B28</f>
        <v/>
      </c>
      <c r="K28" s="56">
        <f>B28*Inputs!$E$20/10000+(B28/Inputs!$E$22*Inputs!$E$23+B28*Inputs!$E$25)*(Inputs!$E$13-Inputs!$E$14*J28)+Inputs!$E$27*Inputs!$E$28*Inputs!$E$29*(1+Inputs!$E$30*Inputs!$E$31/12)/Inputs!$E$31</f>
        <v/>
      </c>
      <c r="L28" s="58">
        <f>K28-I28</f>
        <v/>
      </c>
      <c r="M28" s="59">
        <f>IF(L28&gt;=0,1,0)</f>
        <v/>
      </c>
      <c r="N28" s="56">
        <f>Inputs!$E$33+MAX(0,MIN(B28,Inputs!$E$35)-MAX(0,C28))*Inputs!$E$36+MAX(0,MIN(B28,Inputs!$E$37)-MAX(Inputs!$E$35,C28))*Inputs!$E$38+MAX(0,MIN(B28,Inputs!$E$39)-MAX(Inputs!$E$37,C28))*Inputs!$E$40+MAX(0,B28-MAX(Inputs!$E$39,C28))*Inputs!$E$41</f>
        <v/>
      </c>
      <c r="O28" s="57">
        <f>(B28*(Inputs!$F$16-Inputs!$F$20/10000)+N28)/B28</f>
        <v/>
      </c>
      <c r="P28" s="56">
        <f>B28*Inputs!$F$20/10000+(B28/Inputs!$F$22*Inputs!$F$23+B28*Inputs!$F$25)*(Inputs!$F$13-Inputs!$F$14*O28)+Inputs!$F$27*Inputs!$F$28*Inputs!$F$29*(1+Inputs!$F$30*Inputs!$F$31/12)/Inputs!$F$31</f>
        <v/>
      </c>
      <c r="Q28" s="58">
        <f>P28-N28</f>
        <v/>
      </c>
      <c r="R28" s="59">
        <f>IF(Q28&gt;=0,1,0)</f>
        <v/>
      </c>
    </row>
    <row r="29">
      <c r="A29" s="60">
        <f>A28+5000</f>
        <v/>
      </c>
      <c r="B29" s="56">
        <f>A29*Inputs!$E$6</f>
        <v/>
      </c>
      <c r="C29" s="56">
        <f>MIN(B29,Inputs!$E$34)</f>
        <v/>
      </c>
      <c r="D29" s="56">
        <f>Inputs!$E$33+MAX(0,MIN(B29,Inputs!$E$35)-MAX(0,C29))*Inputs!$E$36+MAX(0,MIN(B29,Inputs!$E$37)-MAX(Inputs!$E$35,C29))*Inputs!$E$38+MAX(0,MIN(B29,Inputs!$E$39)-MAX(Inputs!$E$37,C29))*Inputs!$E$40+MAX(0,B29-MAX(Inputs!$E$39,C29))*Inputs!$E$41</f>
        <v/>
      </c>
      <c r="E29" s="57">
        <f>(B29*(Inputs!$D$16-Inputs!$D$20/10000)+D29)/B29</f>
        <v/>
      </c>
      <c r="F29" s="56">
        <f>B29*Inputs!$D$20/10000+(B29/Inputs!$D$22*Inputs!$D$23+B29*Inputs!$D$25)*(Inputs!$D$13-Inputs!$D$14*E29)+Inputs!$D$27*Inputs!$D$28*Inputs!$D$29*(1+Inputs!$D$30*Inputs!$D$31/12)/Inputs!$D$31</f>
        <v/>
      </c>
      <c r="G29" s="58">
        <f>F29-D29</f>
        <v/>
      </c>
      <c r="H29" s="59">
        <f>IF(G29&gt;=0,1,0)</f>
        <v/>
      </c>
      <c r="I29" s="56">
        <f>Inputs!$E$33+MAX(0,MIN(B29,Inputs!$E$35)-MAX(0,C29))*Inputs!$E$36+MAX(0,MIN(B29,Inputs!$E$37)-MAX(Inputs!$E$35,C29))*Inputs!$E$38+MAX(0,MIN(B29,Inputs!$E$39)-MAX(Inputs!$E$37,C29))*Inputs!$E$40+MAX(0,B29-MAX(Inputs!$E$39,C29))*Inputs!$E$41</f>
        <v/>
      </c>
      <c r="J29" s="57">
        <f>(B29*(Inputs!$E$16-Inputs!$E$20/10000)+I29)/B29</f>
        <v/>
      </c>
      <c r="K29" s="56">
        <f>B29*Inputs!$E$20/10000+(B29/Inputs!$E$22*Inputs!$E$23+B29*Inputs!$E$25)*(Inputs!$E$13-Inputs!$E$14*J29)+Inputs!$E$27*Inputs!$E$28*Inputs!$E$29*(1+Inputs!$E$30*Inputs!$E$31/12)/Inputs!$E$31</f>
        <v/>
      </c>
      <c r="L29" s="58">
        <f>K29-I29</f>
        <v/>
      </c>
      <c r="M29" s="59">
        <f>IF(L29&gt;=0,1,0)</f>
        <v/>
      </c>
      <c r="N29" s="56">
        <f>Inputs!$E$33+MAX(0,MIN(B29,Inputs!$E$35)-MAX(0,C29))*Inputs!$E$36+MAX(0,MIN(B29,Inputs!$E$37)-MAX(Inputs!$E$35,C29))*Inputs!$E$38+MAX(0,MIN(B29,Inputs!$E$39)-MAX(Inputs!$E$37,C29))*Inputs!$E$40+MAX(0,B29-MAX(Inputs!$E$39,C29))*Inputs!$E$41</f>
        <v/>
      </c>
      <c r="O29" s="57">
        <f>(B29*(Inputs!$F$16-Inputs!$F$20/10000)+N29)/B29</f>
        <v/>
      </c>
      <c r="P29" s="56">
        <f>B29*Inputs!$F$20/10000+(B29/Inputs!$F$22*Inputs!$F$23+B29*Inputs!$F$25)*(Inputs!$F$13-Inputs!$F$14*O29)+Inputs!$F$27*Inputs!$F$28*Inputs!$F$29*(1+Inputs!$F$30*Inputs!$F$31/12)/Inputs!$F$31</f>
        <v/>
      </c>
      <c r="Q29" s="58">
        <f>P29-N29</f>
        <v/>
      </c>
      <c r="R29" s="59">
        <f>IF(Q29&gt;=0,1,0)</f>
        <v/>
      </c>
    </row>
    <row r="30">
      <c r="A30" s="60">
        <f>A29+5000</f>
        <v/>
      </c>
      <c r="B30" s="56">
        <f>A30*Inputs!$E$6</f>
        <v/>
      </c>
      <c r="C30" s="56">
        <f>MIN(B30,Inputs!$E$34)</f>
        <v/>
      </c>
      <c r="D30" s="56">
        <f>Inputs!$E$33+MAX(0,MIN(B30,Inputs!$E$35)-MAX(0,C30))*Inputs!$E$36+MAX(0,MIN(B30,Inputs!$E$37)-MAX(Inputs!$E$35,C30))*Inputs!$E$38+MAX(0,MIN(B30,Inputs!$E$39)-MAX(Inputs!$E$37,C30))*Inputs!$E$40+MAX(0,B30-MAX(Inputs!$E$39,C30))*Inputs!$E$41</f>
        <v/>
      </c>
      <c r="E30" s="57">
        <f>(B30*(Inputs!$D$16-Inputs!$D$20/10000)+D30)/B30</f>
        <v/>
      </c>
      <c r="F30" s="56">
        <f>B30*Inputs!$D$20/10000+(B30/Inputs!$D$22*Inputs!$D$23+B30*Inputs!$D$25)*(Inputs!$D$13-Inputs!$D$14*E30)+Inputs!$D$27*Inputs!$D$28*Inputs!$D$29*(1+Inputs!$D$30*Inputs!$D$31/12)/Inputs!$D$31</f>
        <v/>
      </c>
      <c r="G30" s="58">
        <f>F30-D30</f>
        <v/>
      </c>
      <c r="H30" s="59">
        <f>IF(G30&gt;=0,1,0)</f>
        <v/>
      </c>
      <c r="I30" s="56">
        <f>Inputs!$E$33+MAX(0,MIN(B30,Inputs!$E$35)-MAX(0,C30))*Inputs!$E$36+MAX(0,MIN(B30,Inputs!$E$37)-MAX(Inputs!$E$35,C30))*Inputs!$E$38+MAX(0,MIN(B30,Inputs!$E$39)-MAX(Inputs!$E$37,C30))*Inputs!$E$40+MAX(0,B30-MAX(Inputs!$E$39,C30))*Inputs!$E$41</f>
        <v/>
      </c>
      <c r="J30" s="57">
        <f>(B30*(Inputs!$E$16-Inputs!$E$20/10000)+I30)/B30</f>
        <v/>
      </c>
      <c r="K30" s="56">
        <f>B30*Inputs!$E$20/10000+(B30/Inputs!$E$22*Inputs!$E$23+B30*Inputs!$E$25)*(Inputs!$E$13-Inputs!$E$14*J30)+Inputs!$E$27*Inputs!$E$28*Inputs!$E$29*(1+Inputs!$E$30*Inputs!$E$31/12)/Inputs!$E$31</f>
        <v/>
      </c>
      <c r="L30" s="58">
        <f>K30-I30</f>
        <v/>
      </c>
      <c r="M30" s="59">
        <f>IF(L30&gt;=0,1,0)</f>
        <v/>
      </c>
      <c r="N30" s="56">
        <f>Inputs!$E$33+MAX(0,MIN(B30,Inputs!$E$35)-MAX(0,C30))*Inputs!$E$36+MAX(0,MIN(B30,Inputs!$E$37)-MAX(Inputs!$E$35,C30))*Inputs!$E$38+MAX(0,MIN(B30,Inputs!$E$39)-MAX(Inputs!$E$37,C30))*Inputs!$E$40+MAX(0,B30-MAX(Inputs!$E$39,C30))*Inputs!$E$41</f>
        <v/>
      </c>
      <c r="O30" s="57">
        <f>(B30*(Inputs!$F$16-Inputs!$F$20/10000)+N30)/B30</f>
        <v/>
      </c>
      <c r="P30" s="56">
        <f>B30*Inputs!$F$20/10000+(B30/Inputs!$F$22*Inputs!$F$23+B30*Inputs!$F$25)*(Inputs!$F$13-Inputs!$F$14*O30)+Inputs!$F$27*Inputs!$F$28*Inputs!$F$29*(1+Inputs!$F$30*Inputs!$F$31/12)/Inputs!$F$31</f>
        <v/>
      </c>
      <c r="Q30" s="58">
        <f>P30-N30</f>
        <v/>
      </c>
      <c r="R30" s="59">
        <f>IF(Q30&gt;=0,1,0)</f>
        <v/>
      </c>
    </row>
    <row r="31">
      <c r="A31" s="60">
        <f>A30+5000</f>
        <v/>
      </c>
      <c r="B31" s="56">
        <f>A31*Inputs!$E$6</f>
        <v/>
      </c>
      <c r="C31" s="56">
        <f>MIN(B31,Inputs!$E$34)</f>
        <v/>
      </c>
      <c r="D31" s="56">
        <f>Inputs!$E$33+MAX(0,MIN(B31,Inputs!$E$35)-MAX(0,C31))*Inputs!$E$36+MAX(0,MIN(B31,Inputs!$E$37)-MAX(Inputs!$E$35,C31))*Inputs!$E$38+MAX(0,MIN(B31,Inputs!$E$39)-MAX(Inputs!$E$37,C31))*Inputs!$E$40+MAX(0,B31-MAX(Inputs!$E$39,C31))*Inputs!$E$41</f>
        <v/>
      </c>
      <c r="E31" s="57">
        <f>(B31*(Inputs!$D$16-Inputs!$D$20/10000)+D31)/B31</f>
        <v/>
      </c>
      <c r="F31" s="56">
        <f>B31*Inputs!$D$20/10000+(B31/Inputs!$D$22*Inputs!$D$23+B31*Inputs!$D$25)*(Inputs!$D$13-Inputs!$D$14*E31)+Inputs!$D$27*Inputs!$D$28*Inputs!$D$29*(1+Inputs!$D$30*Inputs!$D$31/12)/Inputs!$D$31</f>
        <v/>
      </c>
      <c r="G31" s="58">
        <f>F31-D31</f>
        <v/>
      </c>
      <c r="H31" s="59">
        <f>IF(G31&gt;=0,1,0)</f>
        <v/>
      </c>
      <c r="I31" s="56">
        <f>Inputs!$E$33+MAX(0,MIN(B31,Inputs!$E$35)-MAX(0,C31))*Inputs!$E$36+MAX(0,MIN(B31,Inputs!$E$37)-MAX(Inputs!$E$35,C31))*Inputs!$E$38+MAX(0,MIN(B31,Inputs!$E$39)-MAX(Inputs!$E$37,C31))*Inputs!$E$40+MAX(0,B31-MAX(Inputs!$E$39,C31))*Inputs!$E$41</f>
        <v/>
      </c>
      <c r="J31" s="57">
        <f>(B31*(Inputs!$E$16-Inputs!$E$20/10000)+I31)/B31</f>
        <v/>
      </c>
      <c r="K31" s="56">
        <f>B31*Inputs!$E$20/10000+(B31/Inputs!$E$22*Inputs!$E$23+B31*Inputs!$E$25)*(Inputs!$E$13-Inputs!$E$14*J31)+Inputs!$E$27*Inputs!$E$28*Inputs!$E$29*(1+Inputs!$E$30*Inputs!$E$31/12)/Inputs!$E$31</f>
        <v/>
      </c>
      <c r="L31" s="58">
        <f>K31-I31</f>
        <v/>
      </c>
      <c r="M31" s="59">
        <f>IF(L31&gt;=0,1,0)</f>
        <v/>
      </c>
      <c r="N31" s="56">
        <f>Inputs!$E$33+MAX(0,MIN(B31,Inputs!$E$35)-MAX(0,C31))*Inputs!$E$36+MAX(0,MIN(B31,Inputs!$E$37)-MAX(Inputs!$E$35,C31))*Inputs!$E$38+MAX(0,MIN(B31,Inputs!$E$39)-MAX(Inputs!$E$37,C31))*Inputs!$E$40+MAX(0,B31-MAX(Inputs!$E$39,C31))*Inputs!$E$41</f>
        <v/>
      </c>
      <c r="O31" s="57">
        <f>(B31*(Inputs!$F$16-Inputs!$F$20/10000)+N31)/B31</f>
        <v/>
      </c>
      <c r="P31" s="56">
        <f>B31*Inputs!$F$20/10000+(B31/Inputs!$F$22*Inputs!$F$23+B31*Inputs!$F$25)*(Inputs!$F$13-Inputs!$F$14*O31)+Inputs!$F$27*Inputs!$F$28*Inputs!$F$29*(1+Inputs!$F$30*Inputs!$F$31/12)/Inputs!$F$31</f>
        <v/>
      </c>
      <c r="Q31" s="58">
        <f>P31-N31</f>
        <v/>
      </c>
      <c r="R31" s="59">
        <f>IF(Q31&gt;=0,1,0)</f>
        <v/>
      </c>
    </row>
    <row r="32">
      <c r="A32" s="60">
        <f>A31+5000</f>
        <v/>
      </c>
      <c r="B32" s="56">
        <f>A32*Inputs!$E$6</f>
        <v/>
      </c>
      <c r="C32" s="56">
        <f>MIN(B32,Inputs!$E$34)</f>
        <v/>
      </c>
      <c r="D32" s="56">
        <f>Inputs!$E$33+MAX(0,MIN(B32,Inputs!$E$35)-MAX(0,C32))*Inputs!$E$36+MAX(0,MIN(B32,Inputs!$E$37)-MAX(Inputs!$E$35,C32))*Inputs!$E$38+MAX(0,MIN(B32,Inputs!$E$39)-MAX(Inputs!$E$37,C32))*Inputs!$E$40+MAX(0,B32-MAX(Inputs!$E$39,C32))*Inputs!$E$41</f>
        <v/>
      </c>
      <c r="E32" s="57">
        <f>(B32*(Inputs!$D$16-Inputs!$D$20/10000)+D32)/B32</f>
        <v/>
      </c>
      <c r="F32" s="56">
        <f>B32*Inputs!$D$20/10000+(B32/Inputs!$D$22*Inputs!$D$23+B32*Inputs!$D$25)*(Inputs!$D$13-Inputs!$D$14*E32)+Inputs!$D$27*Inputs!$D$28*Inputs!$D$29*(1+Inputs!$D$30*Inputs!$D$31/12)/Inputs!$D$31</f>
        <v/>
      </c>
      <c r="G32" s="58">
        <f>F32-D32</f>
        <v/>
      </c>
      <c r="H32" s="59">
        <f>IF(G32&gt;=0,1,0)</f>
        <v/>
      </c>
      <c r="I32" s="56">
        <f>Inputs!$E$33+MAX(0,MIN(B32,Inputs!$E$35)-MAX(0,C32))*Inputs!$E$36+MAX(0,MIN(B32,Inputs!$E$37)-MAX(Inputs!$E$35,C32))*Inputs!$E$38+MAX(0,MIN(B32,Inputs!$E$39)-MAX(Inputs!$E$37,C32))*Inputs!$E$40+MAX(0,B32-MAX(Inputs!$E$39,C32))*Inputs!$E$41</f>
        <v/>
      </c>
      <c r="J32" s="57">
        <f>(B32*(Inputs!$E$16-Inputs!$E$20/10000)+I32)/B32</f>
        <v/>
      </c>
      <c r="K32" s="56">
        <f>B32*Inputs!$E$20/10000+(B32/Inputs!$E$22*Inputs!$E$23+B32*Inputs!$E$25)*(Inputs!$E$13-Inputs!$E$14*J32)+Inputs!$E$27*Inputs!$E$28*Inputs!$E$29*(1+Inputs!$E$30*Inputs!$E$31/12)/Inputs!$E$31</f>
        <v/>
      </c>
      <c r="L32" s="58">
        <f>K32-I32</f>
        <v/>
      </c>
      <c r="M32" s="59">
        <f>IF(L32&gt;=0,1,0)</f>
        <v/>
      </c>
      <c r="N32" s="56">
        <f>Inputs!$E$33+MAX(0,MIN(B32,Inputs!$E$35)-MAX(0,C32))*Inputs!$E$36+MAX(0,MIN(B32,Inputs!$E$37)-MAX(Inputs!$E$35,C32))*Inputs!$E$38+MAX(0,MIN(B32,Inputs!$E$39)-MAX(Inputs!$E$37,C32))*Inputs!$E$40+MAX(0,B32-MAX(Inputs!$E$39,C32))*Inputs!$E$41</f>
        <v/>
      </c>
      <c r="O32" s="57">
        <f>(B32*(Inputs!$F$16-Inputs!$F$20/10000)+N32)/B32</f>
        <v/>
      </c>
      <c r="P32" s="56">
        <f>B32*Inputs!$F$20/10000+(B32/Inputs!$F$22*Inputs!$F$23+B32*Inputs!$F$25)*(Inputs!$F$13-Inputs!$F$14*O32)+Inputs!$F$27*Inputs!$F$28*Inputs!$F$29*(1+Inputs!$F$30*Inputs!$F$31/12)/Inputs!$F$31</f>
        <v/>
      </c>
      <c r="Q32" s="58">
        <f>P32-N32</f>
        <v/>
      </c>
      <c r="R32" s="59">
        <f>IF(Q32&gt;=0,1,0)</f>
        <v/>
      </c>
    </row>
    <row r="33">
      <c r="A33" s="60">
        <f>A32+5000</f>
        <v/>
      </c>
      <c r="B33" s="56">
        <f>A33*Inputs!$E$6</f>
        <v/>
      </c>
      <c r="C33" s="56">
        <f>MIN(B33,Inputs!$E$34)</f>
        <v/>
      </c>
      <c r="D33" s="56">
        <f>Inputs!$E$33+MAX(0,MIN(B33,Inputs!$E$35)-MAX(0,C33))*Inputs!$E$36+MAX(0,MIN(B33,Inputs!$E$37)-MAX(Inputs!$E$35,C33))*Inputs!$E$38+MAX(0,MIN(B33,Inputs!$E$39)-MAX(Inputs!$E$37,C33))*Inputs!$E$40+MAX(0,B33-MAX(Inputs!$E$39,C33))*Inputs!$E$41</f>
        <v/>
      </c>
      <c r="E33" s="57">
        <f>(B33*(Inputs!$D$16-Inputs!$D$20/10000)+D33)/B33</f>
        <v/>
      </c>
      <c r="F33" s="56">
        <f>B33*Inputs!$D$20/10000+(B33/Inputs!$D$22*Inputs!$D$23+B33*Inputs!$D$25)*(Inputs!$D$13-Inputs!$D$14*E33)+Inputs!$D$27*Inputs!$D$28*Inputs!$D$29*(1+Inputs!$D$30*Inputs!$D$31/12)/Inputs!$D$31</f>
        <v/>
      </c>
      <c r="G33" s="58">
        <f>F33-D33</f>
        <v/>
      </c>
      <c r="H33" s="59">
        <f>IF(G33&gt;=0,1,0)</f>
        <v/>
      </c>
      <c r="I33" s="56">
        <f>Inputs!$E$33+MAX(0,MIN(B33,Inputs!$E$35)-MAX(0,C33))*Inputs!$E$36+MAX(0,MIN(B33,Inputs!$E$37)-MAX(Inputs!$E$35,C33))*Inputs!$E$38+MAX(0,MIN(B33,Inputs!$E$39)-MAX(Inputs!$E$37,C33))*Inputs!$E$40+MAX(0,B33-MAX(Inputs!$E$39,C33))*Inputs!$E$41</f>
        <v/>
      </c>
      <c r="J33" s="57">
        <f>(B33*(Inputs!$E$16-Inputs!$E$20/10000)+I33)/B33</f>
        <v/>
      </c>
      <c r="K33" s="56">
        <f>B33*Inputs!$E$20/10000+(B33/Inputs!$E$22*Inputs!$E$23+B33*Inputs!$E$25)*(Inputs!$E$13-Inputs!$E$14*J33)+Inputs!$E$27*Inputs!$E$28*Inputs!$E$29*(1+Inputs!$E$30*Inputs!$E$31/12)/Inputs!$E$31</f>
        <v/>
      </c>
      <c r="L33" s="58">
        <f>K33-I33</f>
        <v/>
      </c>
      <c r="M33" s="59">
        <f>IF(L33&gt;=0,1,0)</f>
        <v/>
      </c>
      <c r="N33" s="56">
        <f>Inputs!$E$33+MAX(0,MIN(B33,Inputs!$E$35)-MAX(0,C33))*Inputs!$E$36+MAX(0,MIN(B33,Inputs!$E$37)-MAX(Inputs!$E$35,C33))*Inputs!$E$38+MAX(0,MIN(B33,Inputs!$E$39)-MAX(Inputs!$E$37,C33))*Inputs!$E$40+MAX(0,B33-MAX(Inputs!$E$39,C33))*Inputs!$E$41</f>
        <v/>
      </c>
      <c r="O33" s="57">
        <f>(B33*(Inputs!$F$16-Inputs!$F$20/10000)+N33)/B33</f>
        <v/>
      </c>
      <c r="P33" s="56">
        <f>B33*Inputs!$F$20/10000+(B33/Inputs!$F$22*Inputs!$F$23+B33*Inputs!$F$25)*(Inputs!$F$13-Inputs!$F$14*O33)+Inputs!$F$27*Inputs!$F$28*Inputs!$F$29*(1+Inputs!$F$30*Inputs!$F$31/12)/Inputs!$F$31</f>
        <v/>
      </c>
      <c r="Q33" s="58">
        <f>P33-N33</f>
        <v/>
      </c>
      <c r="R33" s="59">
        <f>IF(Q33&gt;=0,1,0)</f>
        <v/>
      </c>
    </row>
    <row r="34">
      <c r="A34" s="60">
        <f>A33+5000</f>
        <v/>
      </c>
      <c r="B34" s="56">
        <f>A34*Inputs!$E$6</f>
        <v/>
      </c>
      <c r="C34" s="56">
        <f>MIN(B34,Inputs!$E$34)</f>
        <v/>
      </c>
      <c r="D34" s="56">
        <f>Inputs!$E$33+MAX(0,MIN(B34,Inputs!$E$35)-MAX(0,C34))*Inputs!$E$36+MAX(0,MIN(B34,Inputs!$E$37)-MAX(Inputs!$E$35,C34))*Inputs!$E$38+MAX(0,MIN(B34,Inputs!$E$39)-MAX(Inputs!$E$37,C34))*Inputs!$E$40+MAX(0,B34-MAX(Inputs!$E$39,C34))*Inputs!$E$41</f>
        <v/>
      </c>
      <c r="E34" s="57">
        <f>(B34*(Inputs!$D$16-Inputs!$D$20/10000)+D34)/B34</f>
        <v/>
      </c>
      <c r="F34" s="56">
        <f>B34*Inputs!$D$20/10000+(B34/Inputs!$D$22*Inputs!$D$23+B34*Inputs!$D$25)*(Inputs!$D$13-Inputs!$D$14*E34)+Inputs!$D$27*Inputs!$D$28*Inputs!$D$29*(1+Inputs!$D$30*Inputs!$D$31/12)/Inputs!$D$31</f>
        <v/>
      </c>
      <c r="G34" s="58">
        <f>F34-D34</f>
        <v/>
      </c>
      <c r="H34" s="59">
        <f>IF(G34&gt;=0,1,0)</f>
        <v/>
      </c>
      <c r="I34" s="56">
        <f>Inputs!$E$33+MAX(0,MIN(B34,Inputs!$E$35)-MAX(0,C34))*Inputs!$E$36+MAX(0,MIN(B34,Inputs!$E$37)-MAX(Inputs!$E$35,C34))*Inputs!$E$38+MAX(0,MIN(B34,Inputs!$E$39)-MAX(Inputs!$E$37,C34))*Inputs!$E$40+MAX(0,B34-MAX(Inputs!$E$39,C34))*Inputs!$E$41</f>
        <v/>
      </c>
      <c r="J34" s="57">
        <f>(B34*(Inputs!$E$16-Inputs!$E$20/10000)+I34)/B34</f>
        <v/>
      </c>
      <c r="K34" s="56">
        <f>B34*Inputs!$E$20/10000+(B34/Inputs!$E$22*Inputs!$E$23+B34*Inputs!$E$25)*(Inputs!$E$13-Inputs!$E$14*J34)+Inputs!$E$27*Inputs!$E$28*Inputs!$E$29*(1+Inputs!$E$30*Inputs!$E$31/12)/Inputs!$E$31</f>
        <v/>
      </c>
      <c r="L34" s="58">
        <f>K34-I34</f>
        <v/>
      </c>
      <c r="M34" s="59">
        <f>IF(L34&gt;=0,1,0)</f>
        <v/>
      </c>
      <c r="N34" s="56">
        <f>Inputs!$E$33+MAX(0,MIN(B34,Inputs!$E$35)-MAX(0,C34))*Inputs!$E$36+MAX(0,MIN(B34,Inputs!$E$37)-MAX(Inputs!$E$35,C34))*Inputs!$E$38+MAX(0,MIN(B34,Inputs!$E$39)-MAX(Inputs!$E$37,C34))*Inputs!$E$40+MAX(0,B34-MAX(Inputs!$E$39,C34))*Inputs!$E$41</f>
        <v/>
      </c>
      <c r="O34" s="57">
        <f>(B34*(Inputs!$F$16-Inputs!$F$20/10000)+N34)/B34</f>
        <v/>
      </c>
      <c r="P34" s="56">
        <f>B34*Inputs!$F$20/10000+(B34/Inputs!$F$22*Inputs!$F$23+B34*Inputs!$F$25)*(Inputs!$F$13-Inputs!$F$14*O34)+Inputs!$F$27*Inputs!$F$28*Inputs!$F$29*(1+Inputs!$F$30*Inputs!$F$31/12)/Inputs!$F$31</f>
        <v/>
      </c>
      <c r="Q34" s="58">
        <f>P34-N34</f>
        <v/>
      </c>
      <c r="R34" s="59">
        <f>IF(Q34&gt;=0,1,0)</f>
        <v/>
      </c>
    </row>
    <row r="35">
      <c r="A35" s="60">
        <f>A34+5000</f>
        <v/>
      </c>
      <c r="B35" s="56">
        <f>A35*Inputs!$E$6</f>
        <v/>
      </c>
      <c r="C35" s="56">
        <f>MIN(B35,Inputs!$E$34)</f>
        <v/>
      </c>
      <c r="D35" s="56">
        <f>Inputs!$E$33+MAX(0,MIN(B35,Inputs!$E$35)-MAX(0,C35))*Inputs!$E$36+MAX(0,MIN(B35,Inputs!$E$37)-MAX(Inputs!$E$35,C35))*Inputs!$E$38+MAX(0,MIN(B35,Inputs!$E$39)-MAX(Inputs!$E$37,C35))*Inputs!$E$40+MAX(0,B35-MAX(Inputs!$E$39,C35))*Inputs!$E$41</f>
        <v/>
      </c>
      <c r="E35" s="57">
        <f>(B35*(Inputs!$D$16-Inputs!$D$20/10000)+D35)/B35</f>
        <v/>
      </c>
      <c r="F35" s="56">
        <f>B35*Inputs!$D$20/10000+(B35/Inputs!$D$22*Inputs!$D$23+B35*Inputs!$D$25)*(Inputs!$D$13-Inputs!$D$14*E35)+Inputs!$D$27*Inputs!$D$28*Inputs!$D$29*(1+Inputs!$D$30*Inputs!$D$31/12)/Inputs!$D$31</f>
        <v/>
      </c>
      <c r="G35" s="58">
        <f>F35-D35</f>
        <v/>
      </c>
      <c r="H35" s="59">
        <f>IF(G35&gt;=0,1,0)</f>
        <v/>
      </c>
      <c r="I35" s="56">
        <f>Inputs!$E$33+MAX(0,MIN(B35,Inputs!$E$35)-MAX(0,C35))*Inputs!$E$36+MAX(0,MIN(B35,Inputs!$E$37)-MAX(Inputs!$E$35,C35))*Inputs!$E$38+MAX(0,MIN(B35,Inputs!$E$39)-MAX(Inputs!$E$37,C35))*Inputs!$E$40+MAX(0,B35-MAX(Inputs!$E$39,C35))*Inputs!$E$41</f>
        <v/>
      </c>
      <c r="J35" s="57">
        <f>(B35*(Inputs!$E$16-Inputs!$E$20/10000)+I35)/B35</f>
        <v/>
      </c>
      <c r="K35" s="56">
        <f>B35*Inputs!$E$20/10000+(B35/Inputs!$E$22*Inputs!$E$23+B35*Inputs!$E$25)*(Inputs!$E$13-Inputs!$E$14*J35)+Inputs!$E$27*Inputs!$E$28*Inputs!$E$29*(1+Inputs!$E$30*Inputs!$E$31/12)/Inputs!$E$31</f>
        <v/>
      </c>
      <c r="L35" s="58">
        <f>K35-I35</f>
        <v/>
      </c>
      <c r="M35" s="59">
        <f>IF(L35&gt;=0,1,0)</f>
        <v/>
      </c>
      <c r="N35" s="56">
        <f>Inputs!$E$33+MAX(0,MIN(B35,Inputs!$E$35)-MAX(0,C35))*Inputs!$E$36+MAX(0,MIN(B35,Inputs!$E$37)-MAX(Inputs!$E$35,C35))*Inputs!$E$38+MAX(0,MIN(B35,Inputs!$E$39)-MAX(Inputs!$E$37,C35))*Inputs!$E$40+MAX(0,B35-MAX(Inputs!$E$39,C35))*Inputs!$E$41</f>
        <v/>
      </c>
      <c r="O35" s="57">
        <f>(B35*(Inputs!$F$16-Inputs!$F$20/10000)+N35)/B35</f>
        <v/>
      </c>
      <c r="P35" s="56">
        <f>B35*Inputs!$F$20/10000+(B35/Inputs!$F$22*Inputs!$F$23+B35*Inputs!$F$25)*(Inputs!$F$13-Inputs!$F$14*O35)+Inputs!$F$27*Inputs!$F$28*Inputs!$F$29*(1+Inputs!$F$30*Inputs!$F$31/12)/Inputs!$F$31</f>
        <v/>
      </c>
      <c r="Q35" s="58">
        <f>P35-N35</f>
        <v/>
      </c>
      <c r="R35" s="59">
        <f>IF(Q35&gt;=0,1,0)</f>
        <v/>
      </c>
    </row>
    <row r="36">
      <c r="A36" s="60">
        <f>A35+5000</f>
        <v/>
      </c>
      <c r="B36" s="56">
        <f>A36*Inputs!$E$6</f>
        <v/>
      </c>
      <c r="C36" s="56">
        <f>MIN(B36,Inputs!$E$34)</f>
        <v/>
      </c>
      <c r="D36" s="56">
        <f>Inputs!$E$33+MAX(0,MIN(B36,Inputs!$E$35)-MAX(0,C36))*Inputs!$E$36+MAX(0,MIN(B36,Inputs!$E$37)-MAX(Inputs!$E$35,C36))*Inputs!$E$38+MAX(0,MIN(B36,Inputs!$E$39)-MAX(Inputs!$E$37,C36))*Inputs!$E$40+MAX(0,B36-MAX(Inputs!$E$39,C36))*Inputs!$E$41</f>
        <v/>
      </c>
      <c r="E36" s="57">
        <f>(B36*(Inputs!$D$16-Inputs!$D$20/10000)+D36)/B36</f>
        <v/>
      </c>
      <c r="F36" s="56">
        <f>B36*Inputs!$D$20/10000+(B36/Inputs!$D$22*Inputs!$D$23+B36*Inputs!$D$25)*(Inputs!$D$13-Inputs!$D$14*E36)+Inputs!$D$27*Inputs!$D$28*Inputs!$D$29*(1+Inputs!$D$30*Inputs!$D$31/12)/Inputs!$D$31</f>
        <v/>
      </c>
      <c r="G36" s="58">
        <f>F36-D36</f>
        <v/>
      </c>
      <c r="H36" s="59">
        <f>IF(G36&gt;=0,1,0)</f>
        <v/>
      </c>
      <c r="I36" s="56">
        <f>Inputs!$E$33+MAX(0,MIN(B36,Inputs!$E$35)-MAX(0,C36))*Inputs!$E$36+MAX(0,MIN(B36,Inputs!$E$37)-MAX(Inputs!$E$35,C36))*Inputs!$E$38+MAX(0,MIN(B36,Inputs!$E$39)-MAX(Inputs!$E$37,C36))*Inputs!$E$40+MAX(0,B36-MAX(Inputs!$E$39,C36))*Inputs!$E$41</f>
        <v/>
      </c>
      <c r="J36" s="57">
        <f>(B36*(Inputs!$E$16-Inputs!$E$20/10000)+I36)/B36</f>
        <v/>
      </c>
      <c r="K36" s="56">
        <f>B36*Inputs!$E$20/10000+(B36/Inputs!$E$22*Inputs!$E$23+B36*Inputs!$E$25)*(Inputs!$E$13-Inputs!$E$14*J36)+Inputs!$E$27*Inputs!$E$28*Inputs!$E$29*(1+Inputs!$E$30*Inputs!$E$31/12)/Inputs!$E$31</f>
        <v/>
      </c>
      <c r="L36" s="58">
        <f>K36-I36</f>
        <v/>
      </c>
      <c r="M36" s="59">
        <f>IF(L36&gt;=0,1,0)</f>
        <v/>
      </c>
      <c r="N36" s="56">
        <f>Inputs!$E$33+MAX(0,MIN(B36,Inputs!$E$35)-MAX(0,C36))*Inputs!$E$36+MAX(0,MIN(B36,Inputs!$E$37)-MAX(Inputs!$E$35,C36))*Inputs!$E$38+MAX(0,MIN(B36,Inputs!$E$39)-MAX(Inputs!$E$37,C36))*Inputs!$E$40+MAX(0,B36-MAX(Inputs!$E$39,C36))*Inputs!$E$41</f>
        <v/>
      </c>
      <c r="O36" s="57">
        <f>(B36*(Inputs!$F$16-Inputs!$F$20/10000)+N36)/B36</f>
        <v/>
      </c>
      <c r="P36" s="56">
        <f>B36*Inputs!$F$20/10000+(B36/Inputs!$F$22*Inputs!$F$23+B36*Inputs!$F$25)*(Inputs!$F$13-Inputs!$F$14*O36)+Inputs!$F$27*Inputs!$F$28*Inputs!$F$29*(1+Inputs!$F$30*Inputs!$F$31/12)/Inputs!$F$31</f>
        <v/>
      </c>
      <c r="Q36" s="58">
        <f>P36-N36</f>
        <v/>
      </c>
      <c r="R36" s="59">
        <f>IF(Q36&gt;=0,1,0)</f>
        <v/>
      </c>
    </row>
    <row r="37">
      <c r="A37" s="60">
        <f>A36+5000</f>
        <v/>
      </c>
      <c r="B37" s="56">
        <f>A37*Inputs!$E$6</f>
        <v/>
      </c>
      <c r="C37" s="56">
        <f>MIN(B37,Inputs!$E$34)</f>
        <v/>
      </c>
      <c r="D37" s="56">
        <f>Inputs!$E$33+MAX(0,MIN(B37,Inputs!$E$35)-MAX(0,C37))*Inputs!$E$36+MAX(0,MIN(B37,Inputs!$E$37)-MAX(Inputs!$E$35,C37))*Inputs!$E$38+MAX(0,MIN(B37,Inputs!$E$39)-MAX(Inputs!$E$37,C37))*Inputs!$E$40+MAX(0,B37-MAX(Inputs!$E$39,C37))*Inputs!$E$41</f>
        <v/>
      </c>
      <c r="E37" s="57">
        <f>(B37*(Inputs!$D$16-Inputs!$D$20/10000)+D37)/B37</f>
        <v/>
      </c>
      <c r="F37" s="56">
        <f>B37*Inputs!$D$20/10000+(B37/Inputs!$D$22*Inputs!$D$23+B37*Inputs!$D$25)*(Inputs!$D$13-Inputs!$D$14*E37)+Inputs!$D$27*Inputs!$D$28*Inputs!$D$29*(1+Inputs!$D$30*Inputs!$D$31/12)/Inputs!$D$31</f>
        <v/>
      </c>
      <c r="G37" s="58">
        <f>F37-D37</f>
        <v/>
      </c>
      <c r="H37" s="59">
        <f>IF(G37&gt;=0,1,0)</f>
        <v/>
      </c>
      <c r="I37" s="56">
        <f>Inputs!$E$33+MAX(0,MIN(B37,Inputs!$E$35)-MAX(0,C37))*Inputs!$E$36+MAX(0,MIN(B37,Inputs!$E$37)-MAX(Inputs!$E$35,C37))*Inputs!$E$38+MAX(0,MIN(B37,Inputs!$E$39)-MAX(Inputs!$E$37,C37))*Inputs!$E$40+MAX(0,B37-MAX(Inputs!$E$39,C37))*Inputs!$E$41</f>
        <v/>
      </c>
      <c r="J37" s="57">
        <f>(B37*(Inputs!$E$16-Inputs!$E$20/10000)+I37)/B37</f>
        <v/>
      </c>
      <c r="K37" s="56">
        <f>B37*Inputs!$E$20/10000+(B37/Inputs!$E$22*Inputs!$E$23+B37*Inputs!$E$25)*(Inputs!$E$13-Inputs!$E$14*J37)+Inputs!$E$27*Inputs!$E$28*Inputs!$E$29*(1+Inputs!$E$30*Inputs!$E$31/12)/Inputs!$E$31</f>
        <v/>
      </c>
      <c r="L37" s="58">
        <f>K37-I37</f>
        <v/>
      </c>
      <c r="M37" s="59">
        <f>IF(L37&gt;=0,1,0)</f>
        <v/>
      </c>
      <c r="N37" s="56">
        <f>Inputs!$E$33+MAX(0,MIN(B37,Inputs!$E$35)-MAX(0,C37))*Inputs!$E$36+MAX(0,MIN(B37,Inputs!$E$37)-MAX(Inputs!$E$35,C37))*Inputs!$E$38+MAX(0,MIN(B37,Inputs!$E$39)-MAX(Inputs!$E$37,C37))*Inputs!$E$40+MAX(0,B37-MAX(Inputs!$E$39,C37))*Inputs!$E$41</f>
        <v/>
      </c>
      <c r="O37" s="57">
        <f>(B37*(Inputs!$F$16-Inputs!$F$20/10000)+N37)/B37</f>
        <v/>
      </c>
      <c r="P37" s="56">
        <f>B37*Inputs!$F$20/10000+(B37/Inputs!$F$22*Inputs!$F$23+B37*Inputs!$F$25)*(Inputs!$F$13-Inputs!$F$14*O37)+Inputs!$F$27*Inputs!$F$28*Inputs!$F$29*(1+Inputs!$F$30*Inputs!$F$31/12)/Inputs!$F$31</f>
        <v/>
      </c>
      <c r="Q37" s="58">
        <f>P37-N37</f>
        <v/>
      </c>
      <c r="R37" s="59">
        <f>IF(Q37&gt;=0,1,0)</f>
        <v/>
      </c>
    </row>
    <row r="38">
      <c r="A38" s="60">
        <f>A37+5000</f>
        <v/>
      </c>
      <c r="B38" s="56">
        <f>A38*Inputs!$E$6</f>
        <v/>
      </c>
      <c r="C38" s="56">
        <f>MIN(B38,Inputs!$E$34)</f>
        <v/>
      </c>
      <c r="D38" s="56">
        <f>Inputs!$E$33+MAX(0,MIN(B38,Inputs!$E$35)-MAX(0,C38))*Inputs!$E$36+MAX(0,MIN(B38,Inputs!$E$37)-MAX(Inputs!$E$35,C38))*Inputs!$E$38+MAX(0,MIN(B38,Inputs!$E$39)-MAX(Inputs!$E$37,C38))*Inputs!$E$40+MAX(0,B38-MAX(Inputs!$E$39,C38))*Inputs!$E$41</f>
        <v/>
      </c>
      <c r="E38" s="57">
        <f>(B38*(Inputs!$D$16-Inputs!$D$20/10000)+D38)/B38</f>
        <v/>
      </c>
      <c r="F38" s="56">
        <f>B38*Inputs!$D$20/10000+(B38/Inputs!$D$22*Inputs!$D$23+B38*Inputs!$D$25)*(Inputs!$D$13-Inputs!$D$14*E38)+Inputs!$D$27*Inputs!$D$28*Inputs!$D$29*(1+Inputs!$D$30*Inputs!$D$31/12)/Inputs!$D$31</f>
        <v/>
      </c>
      <c r="G38" s="58">
        <f>F38-D38</f>
        <v/>
      </c>
      <c r="H38" s="59">
        <f>IF(G38&gt;=0,1,0)</f>
        <v/>
      </c>
      <c r="I38" s="56">
        <f>Inputs!$E$33+MAX(0,MIN(B38,Inputs!$E$35)-MAX(0,C38))*Inputs!$E$36+MAX(0,MIN(B38,Inputs!$E$37)-MAX(Inputs!$E$35,C38))*Inputs!$E$38+MAX(0,MIN(B38,Inputs!$E$39)-MAX(Inputs!$E$37,C38))*Inputs!$E$40+MAX(0,B38-MAX(Inputs!$E$39,C38))*Inputs!$E$41</f>
        <v/>
      </c>
      <c r="J38" s="57">
        <f>(B38*(Inputs!$E$16-Inputs!$E$20/10000)+I38)/B38</f>
        <v/>
      </c>
      <c r="K38" s="56">
        <f>B38*Inputs!$E$20/10000+(B38/Inputs!$E$22*Inputs!$E$23+B38*Inputs!$E$25)*(Inputs!$E$13-Inputs!$E$14*J38)+Inputs!$E$27*Inputs!$E$28*Inputs!$E$29*(1+Inputs!$E$30*Inputs!$E$31/12)/Inputs!$E$31</f>
        <v/>
      </c>
      <c r="L38" s="58">
        <f>K38-I38</f>
        <v/>
      </c>
      <c r="M38" s="59">
        <f>IF(L38&gt;=0,1,0)</f>
        <v/>
      </c>
      <c r="N38" s="56">
        <f>Inputs!$E$33+MAX(0,MIN(B38,Inputs!$E$35)-MAX(0,C38))*Inputs!$E$36+MAX(0,MIN(B38,Inputs!$E$37)-MAX(Inputs!$E$35,C38))*Inputs!$E$38+MAX(0,MIN(B38,Inputs!$E$39)-MAX(Inputs!$E$37,C38))*Inputs!$E$40+MAX(0,B38-MAX(Inputs!$E$39,C38))*Inputs!$E$41</f>
        <v/>
      </c>
      <c r="O38" s="57">
        <f>(B38*(Inputs!$F$16-Inputs!$F$20/10000)+N38)/B38</f>
        <v/>
      </c>
      <c r="P38" s="56">
        <f>B38*Inputs!$F$20/10000+(B38/Inputs!$F$22*Inputs!$F$23+B38*Inputs!$F$25)*(Inputs!$F$13-Inputs!$F$14*O38)+Inputs!$F$27*Inputs!$F$28*Inputs!$F$29*(1+Inputs!$F$30*Inputs!$F$31/12)/Inputs!$F$31</f>
        <v/>
      </c>
      <c r="Q38" s="58">
        <f>P38-N38</f>
        <v/>
      </c>
      <c r="R38" s="59">
        <f>IF(Q38&gt;=0,1,0)</f>
        <v/>
      </c>
    </row>
    <row r="39">
      <c r="A39" s="60">
        <f>A38+5000</f>
        <v/>
      </c>
      <c r="B39" s="56">
        <f>A39*Inputs!$E$6</f>
        <v/>
      </c>
      <c r="C39" s="56">
        <f>MIN(B39,Inputs!$E$34)</f>
        <v/>
      </c>
      <c r="D39" s="56">
        <f>Inputs!$E$33+MAX(0,MIN(B39,Inputs!$E$35)-MAX(0,C39))*Inputs!$E$36+MAX(0,MIN(B39,Inputs!$E$37)-MAX(Inputs!$E$35,C39))*Inputs!$E$38+MAX(0,MIN(B39,Inputs!$E$39)-MAX(Inputs!$E$37,C39))*Inputs!$E$40+MAX(0,B39-MAX(Inputs!$E$39,C39))*Inputs!$E$41</f>
        <v/>
      </c>
      <c r="E39" s="57">
        <f>(B39*(Inputs!$D$16-Inputs!$D$20/10000)+D39)/B39</f>
        <v/>
      </c>
      <c r="F39" s="56">
        <f>B39*Inputs!$D$20/10000+(B39/Inputs!$D$22*Inputs!$D$23+B39*Inputs!$D$25)*(Inputs!$D$13-Inputs!$D$14*E39)+Inputs!$D$27*Inputs!$D$28*Inputs!$D$29*(1+Inputs!$D$30*Inputs!$D$31/12)/Inputs!$D$31</f>
        <v/>
      </c>
      <c r="G39" s="58">
        <f>F39-D39</f>
        <v/>
      </c>
      <c r="H39" s="59">
        <f>IF(G39&gt;=0,1,0)</f>
        <v/>
      </c>
      <c r="I39" s="56">
        <f>Inputs!$E$33+MAX(0,MIN(B39,Inputs!$E$35)-MAX(0,C39))*Inputs!$E$36+MAX(0,MIN(B39,Inputs!$E$37)-MAX(Inputs!$E$35,C39))*Inputs!$E$38+MAX(0,MIN(B39,Inputs!$E$39)-MAX(Inputs!$E$37,C39))*Inputs!$E$40+MAX(0,B39-MAX(Inputs!$E$39,C39))*Inputs!$E$41</f>
        <v/>
      </c>
      <c r="J39" s="57">
        <f>(B39*(Inputs!$E$16-Inputs!$E$20/10000)+I39)/B39</f>
        <v/>
      </c>
      <c r="K39" s="56">
        <f>B39*Inputs!$E$20/10000+(B39/Inputs!$E$22*Inputs!$E$23+B39*Inputs!$E$25)*(Inputs!$E$13-Inputs!$E$14*J39)+Inputs!$E$27*Inputs!$E$28*Inputs!$E$29*(1+Inputs!$E$30*Inputs!$E$31/12)/Inputs!$E$31</f>
        <v/>
      </c>
      <c r="L39" s="58">
        <f>K39-I39</f>
        <v/>
      </c>
      <c r="M39" s="59">
        <f>IF(L39&gt;=0,1,0)</f>
        <v/>
      </c>
      <c r="N39" s="56">
        <f>Inputs!$E$33+MAX(0,MIN(B39,Inputs!$E$35)-MAX(0,C39))*Inputs!$E$36+MAX(0,MIN(B39,Inputs!$E$37)-MAX(Inputs!$E$35,C39))*Inputs!$E$38+MAX(0,MIN(B39,Inputs!$E$39)-MAX(Inputs!$E$37,C39))*Inputs!$E$40+MAX(0,B39-MAX(Inputs!$E$39,C39))*Inputs!$E$41</f>
        <v/>
      </c>
      <c r="O39" s="57">
        <f>(B39*(Inputs!$F$16-Inputs!$F$20/10000)+N39)/B39</f>
        <v/>
      </c>
      <c r="P39" s="56">
        <f>B39*Inputs!$F$20/10000+(B39/Inputs!$F$22*Inputs!$F$23+B39*Inputs!$F$25)*(Inputs!$F$13-Inputs!$F$14*O39)+Inputs!$F$27*Inputs!$F$28*Inputs!$F$29*(1+Inputs!$F$30*Inputs!$F$31/12)/Inputs!$F$31</f>
        <v/>
      </c>
      <c r="Q39" s="58">
        <f>P39-N39</f>
        <v/>
      </c>
      <c r="R39" s="59">
        <f>IF(Q39&gt;=0,1,0)</f>
        <v/>
      </c>
    </row>
    <row r="40">
      <c r="A40" s="60">
        <f>A39+5000</f>
        <v/>
      </c>
      <c r="B40" s="56">
        <f>A40*Inputs!$E$6</f>
        <v/>
      </c>
      <c r="C40" s="56">
        <f>MIN(B40,Inputs!$E$34)</f>
        <v/>
      </c>
      <c r="D40" s="56">
        <f>Inputs!$E$33+MAX(0,MIN(B40,Inputs!$E$35)-MAX(0,C40))*Inputs!$E$36+MAX(0,MIN(B40,Inputs!$E$37)-MAX(Inputs!$E$35,C40))*Inputs!$E$38+MAX(0,MIN(B40,Inputs!$E$39)-MAX(Inputs!$E$37,C40))*Inputs!$E$40+MAX(0,B40-MAX(Inputs!$E$39,C40))*Inputs!$E$41</f>
        <v/>
      </c>
      <c r="E40" s="57">
        <f>(B40*(Inputs!$D$16-Inputs!$D$20/10000)+D40)/B40</f>
        <v/>
      </c>
      <c r="F40" s="56">
        <f>B40*Inputs!$D$20/10000+(B40/Inputs!$D$22*Inputs!$D$23+B40*Inputs!$D$25)*(Inputs!$D$13-Inputs!$D$14*E40)+Inputs!$D$27*Inputs!$D$28*Inputs!$D$29*(1+Inputs!$D$30*Inputs!$D$31/12)/Inputs!$D$31</f>
        <v/>
      </c>
      <c r="G40" s="58">
        <f>F40-D40</f>
        <v/>
      </c>
      <c r="H40" s="59">
        <f>IF(G40&gt;=0,1,0)</f>
        <v/>
      </c>
      <c r="I40" s="56">
        <f>Inputs!$E$33+MAX(0,MIN(B40,Inputs!$E$35)-MAX(0,C40))*Inputs!$E$36+MAX(0,MIN(B40,Inputs!$E$37)-MAX(Inputs!$E$35,C40))*Inputs!$E$38+MAX(0,MIN(B40,Inputs!$E$39)-MAX(Inputs!$E$37,C40))*Inputs!$E$40+MAX(0,B40-MAX(Inputs!$E$39,C40))*Inputs!$E$41</f>
        <v/>
      </c>
      <c r="J40" s="57">
        <f>(B40*(Inputs!$E$16-Inputs!$E$20/10000)+I40)/B40</f>
        <v/>
      </c>
      <c r="K40" s="56">
        <f>B40*Inputs!$E$20/10000+(B40/Inputs!$E$22*Inputs!$E$23+B40*Inputs!$E$25)*(Inputs!$E$13-Inputs!$E$14*J40)+Inputs!$E$27*Inputs!$E$28*Inputs!$E$29*(1+Inputs!$E$30*Inputs!$E$31/12)/Inputs!$E$31</f>
        <v/>
      </c>
      <c r="L40" s="58">
        <f>K40-I40</f>
        <v/>
      </c>
      <c r="M40" s="59">
        <f>IF(L40&gt;=0,1,0)</f>
        <v/>
      </c>
      <c r="N40" s="56">
        <f>Inputs!$E$33+MAX(0,MIN(B40,Inputs!$E$35)-MAX(0,C40))*Inputs!$E$36+MAX(0,MIN(B40,Inputs!$E$37)-MAX(Inputs!$E$35,C40))*Inputs!$E$38+MAX(0,MIN(B40,Inputs!$E$39)-MAX(Inputs!$E$37,C40))*Inputs!$E$40+MAX(0,B40-MAX(Inputs!$E$39,C40))*Inputs!$E$41</f>
        <v/>
      </c>
      <c r="O40" s="57">
        <f>(B40*(Inputs!$F$16-Inputs!$F$20/10000)+N40)/B40</f>
        <v/>
      </c>
      <c r="P40" s="56">
        <f>B40*Inputs!$F$20/10000+(B40/Inputs!$F$22*Inputs!$F$23+B40*Inputs!$F$25)*(Inputs!$F$13-Inputs!$F$14*O40)+Inputs!$F$27*Inputs!$F$28*Inputs!$F$29*(1+Inputs!$F$30*Inputs!$F$31/12)/Inputs!$F$31</f>
        <v/>
      </c>
      <c r="Q40" s="58">
        <f>P40-N40</f>
        <v/>
      </c>
      <c r="R40" s="59">
        <f>IF(Q40&gt;=0,1,0)</f>
        <v/>
      </c>
    </row>
    <row r="41">
      <c r="A41" s="60">
        <f>A40+5000</f>
        <v/>
      </c>
      <c r="B41" s="56">
        <f>A41*Inputs!$E$6</f>
        <v/>
      </c>
      <c r="C41" s="56">
        <f>MIN(B41,Inputs!$E$34)</f>
        <v/>
      </c>
      <c r="D41" s="56">
        <f>Inputs!$E$33+MAX(0,MIN(B41,Inputs!$E$35)-MAX(0,C41))*Inputs!$E$36+MAX(0,MIN(B41,Inputs!$E$37)-MAX(Inputs!$E$35,C41))*Inputs!$E$38+MAX(0,MIN(B41,Inputs!$E$39)-MAX(Inputs!$E$37,C41))*Inputs!$E$40+MAX(0,B41-MAX(Inputs!$E$39,C41))*Inputs!$E$41</f>
        <v/>
      </c>
      <c r="E41" s="57">
        <f>(B41*(Inputs!$D$16-Inputs!$D$20/10000)+D41)/B41</f>
        <v/>
      </c>
      <c r="F41" s="56">
        <f>B41*Inputs!$D$20/10000+(B41/Inputs!$D$22*Inputs!$D$23+B41*Inputs!$D$25)*(Inputs!$D$13-Inputs!$D$14*E41)+Inputs!$D$27*Inputs!$D$28*Inputs!$D$29*(1+Inputs!$D$30*Inputs!$D$31/12)/Inputs!$D$31</f>
        <v/>
      </c>
      <c r="G41" s="58">
        <f>F41-D41</f>
        <v/>
      </c>
      <c r="H41" s="59">
        <f>IF(G41&gt;=0,1,0)</f>
        <v/>
      </c>
      <c r="I41" s="56">
        <f>Inputs!$E$33+MAX(0,MIN(B41,Inputs!$E$35)-MAX(0,C41))*Inputs!$E$36+MAX(0,MIN(B41,Inputs!$E$37)-MAX(Inputs!$E$35,C41))*Inputs!$E$38+MAX(0,MIN(B41,Inputs!$E$39)-MAX(Inputs!$E$37,C41))*Inputs!$E$40+MAX(0,B41-MAX(Inputs!$E$39,C41))*Inputs!$E$41</f>
        <v/>
      </c>
      <c r="J41" s="57">
        <f>(B41*(Inputs!$E$16-Inputs!$E$20/10000)+I41)/B41</f>
        <v/>
      </c>
      <c r="K41" s="56">
        <f>B41*Inputs!$E$20/10000+(B41/Inputs!$E$22*Inputs!$E$23+B41*Inputs!$E$25)*(Inputs!$E$13-Inputs!$E$14*J41)+Inputs!$E$27*Inputs!$E$28*Inputs!$E$29*(1+Inputs!$E$30*Inputs!$E$31/12)/Inputs!$E$31</f>
        <v/>
      </c>
      <c r="L41" s="58">
        <f>K41-I41</f>
        <v/>
      </c>
      <c r="M41" s="59">
        <f>IF(L41&gt;=0,1,0)</f>
        <v/>
      </c>
      <c r="N41" s="56">
        <f>Inputs!$E$33+MAX(0,MIN(B41,Inputs!$E$35)-MAX(0,C41))*Inputs!$E$36+MAX(0,MIN(B41,Inputs!$E$37)-MAX(Inputs!$E$35,C41))*Inputs!$E$38+MAX(0,MIN(B41,Inputs!$E$39)-MAX(Inputs!$E$37,C41))*Inputs!$E$40+MAX(0,B41-MAX(Inputs!$E$39,C41))*Inputs!$E$41</f>
        <v/>
      </c>
      <c r="O41" s="57">
        <f>(B41*(Inputs!$F$16-Inputs!$F$20/10000)+N41)/B41</f>
        <v/>
      </c>
      <c r="P41" s="56">
        <f>B41*Inputs!$F$20/10000+(B41/Inputs!$F$22*Inputs!$F$23+B41*Inputs!$F$25)*(Inputs!$F$13-Inputs!$F$14*O41)+Inputs!$F$27*Inputs!$F$28*Inputs!$F$29*(1+Inputs!$F$30*Inputs!$F$31/12)/Inputs!$F$31</f>
        <v/>
      </c>
      <c r="Q41" s="58">
        <f>P41-N41</f>
        <v/>
      </c>
      <c r="R41" s="59">
        <f>IF(Q41&gt;=0,1,0)</f>
        <v/>
      </c>
    </row>
    <row r="42">
      <c r="A42" s="60">
        <f>A41+5000</f>
        <v/>
      </c>
      <c r="B42" s="56">
        <f>A42*Inputs!$E$6</f>
        <v/>
      </c>
      <c r="C42" s="56">
        <f>MIN(B42,Inputs!$E$34)</f>
        <v/>
      </c>
      <c r="D42" s="56">
        <f>Inputs!$E$33+MAX(0,MIN(B42,Inputs!$E$35)-MAX(0,C42))*Inputs!$E$36+MAX(0,MIN(B42,Inputs!$E$37)-MAX(Inputs!$E$35,C42))*Inputs!$E$38+MAX(0,MIN(B42,Inputs!$E$39)-MAX(Inputs!$E$37,C42))*Inputs!$E$40+MAX(0,B42-MAX(Inputs!$E$39,C42))*Inputs!$E$41</f>
        <v/>
      </c>
      <c r="E42" s="57">
        <f>(B42*(Inputs!$D$16-Inputs!$D$20/10000)+D42)/B42</f>
        <v/>
      </c>
      <c r="F42" s="56">
        <f>B42*Inputs!$D$20/10000+(B42/Inputs!$D$22*Inputs!$D$23+B42*Inputs!$D$25)*(Inputs!$D$13-Inputs!$D$14*E42)+Inputs!$D$27*Inputs!$D$28*Inputs!$D$29*(1+Inputs!$D$30*Inputs!$D$31/12)/Inputs!$D$31</f>
        <v/>
      </c>
      <c r="G42" s="58">
        <f>F42-D42</f>
        <v/>
      </c>
      <c r="H42" s="59">
        <f>IF(G42&gt;=0,1,0)</f>
        <v/>
      </c>
      <c r="I42" s="56">
        <f>Inputs!$E$33+MAX(0,MIN(B42,Inputs!$E$35)-MAX(0,C42))*Inputs!$E$36+MAX(0,MIN(B42,Inputs!$E$37)-MAX(Inputs!$E$35,C42))*Inputs!$E$38+MAX(0,MIN(B42,Inputs!$E$39)-MAX(Inputs!$E$37,C42))*Inputs!$E$40+MAX(0,B42-MAX(Inputs!$E$39,C42))*Inputs!$E$41</f>
        <v/>
      </c>
      <c r="J42" s="57">
        <f>(B42*(Inputs!$E$16-Inputs!$E$20/10000)+I42)/B42</f>
        <v/>
      </c>
      <c r="K42" s="56">
        <f>B42*Inputs!$E$20/10000+(B42/Inputs!$E$22*Inputs!$E$23+B42*Inputs!$E$25)*(Inputs!$E$13-Inputs!$E$14*J42)+Inputs!$E$27*Inputs!$E$28*Inputs!$E$29*(1+Inputs!$E$30*Inputs!$E$31/12)/Inputs!$E$31</f>
        <v/>
      </c>
      <c r="L42" s="58">
        <f>K42-I42</f>
        <v/>
      </c>
      <c r="M42" s="59">
        <f>IF(L42&gt;=0,1,0)</f>
        <v/>
      </c>
      <c r="N42" s="56">
        <f>Inputs!$E$33+MAX(0,MIN(B42,Inputs!$E$35)-MAX(0,C42))*Inputs!$E$36+MAX(0,MIN(B42,Inputs!$E$37)-MAX(Inputs!$E$35,C42))*Inputs!$E$38+MAX(0,MIN(B42,Inputs!$E$39)-MAX(Inputs!$E$37,C42))*Inputs!$E$40+MAX(0,B42-MAX(Inputs!$E$39,C42))*Inputs!$E$41</f>
        <v/>
      </c>
      <c r="O42" s="57">
        <f>(B42*(Inputs!$F$16-Inputs!$F$20/10000)+N42)/B42</f>
        <v/>
      </c>
      <c r="P42" s="56">
        <f>B42*Inputs!$F$20/10000+(B42/Inputs!$F$22*Inputs!$F$23+B42*Inputs!$F$25)*(Inputs!$F$13-Inputs!$F$14*O42)+Inputs!$F$27*Inputs!$F$28*Inputs!$F$29*(1+Inputs!$F$30*Inputs!$F$31/12)/Inputs!$F$31</f>
        <v/>
      </c>
      <c r="Q42" s="58">
        <f>P42-N42</f>
        <v/>
      </c>
      <c r="R42" s="59">
        <f>IF(Q42&gt;=0,1,0)</f>
        <v/>
      </c>
    </row>
    <row r="43">
      <c r="A43" s="60">
        <f>A42+5000</f>
        <v/>
      </c>
      <c r="B43" s="56">
        <f>A43*Inputs!$E$6</f>
        <v/>
      </c>
      <c r="C43" s="56">
        <f>MIN(B43,Inputs!$E$34)</f>
        <v/>
      </c>
      <c r="D43" s="56">
        <f>Inputs!$E$33+MAX(0,MIN(B43,Inputs!$E$35)-MAX(0,C43))*Inputs!$E$36+MAX(0,MIN(B43,Inputs!$E$37)-MAX(Inputs!$E$35,C43))*Inputs!$E$38+MAX(0,MIN(B43,Inputs!$E$39)-MAX(Inputs!$E$37,C43))*Inputs!$E$40+MAX(0,B43-MAX(Inputs!$E$39,C43))*Inputs!$E$41</f>
        <v/>
      </c>
      <c r="E43" s="57">
        <f>(B43*(Inputs!$D$16-Inputs!$D$20/10000)+D43)/B43</f>
        <v/>
      </c>
      <c r="F43" s="56">
        <f>B43*Inputs!$D$20/10000+(B43/Inputs!$D$22*Inputs!$D$23+B43*Inputs!$D$25)*(Inputs!$D$13-Inputs!$D$14*E43)+Inputs!$D$27*Inputs!$D$28*Inputs!$D$29*(1+Inputs!$D$30*Inputs!$D$31/12)/Inputs!$D$31</f>
        <v/>
      </c>
      <c r="G43" s="58">
        <f>F43-D43</f>
        <v/>
      </c>
      <c r="H43" s="59">
        <f>IF(G43&gt;=0,1,0)</f>
        <v/>
      </c>
      <c r="I43" s="56">
        <f>Inputs!$E$33+MAX(0,MIN(B43,Inputs!$E$35)-MAX(0,C43))*Inputs!$E$36+MAX(0,MIN(B43,Inputs!$E$37)-MAX(Inputs!$E$35,C43))*Inputs!$E$38+MAX(0,MIN(B43,Inputs!$E$39)-MAX(Inputs!$E$37,C43))*Inputs!$E$40+MAX(0,B43-MAX(Inputs!$E$39,C43))*Inputs!$E$41</f>
        <v/>
      </c>
      <c r="J43" s="57">
        <f>(B43*(Inputs!$E$16-Inputs!$E$20/10000)+I43)/B43</f>
        <v/>
      </c>
      <c r="K43" s="56">
        <f>B43*Inputs!$E$20/10000+(B43/Inputs!$E$22*Inputs!$E$23+B43*Inputs!$E$25)*(Inputs!$E$13-Inputs!$E$14*J43)+Inputs!$E$27*Inputs!$E$28*Inputs!$E$29*(1+Inputs!$E$30*Inputs!$E$31/12)/Inputs!$E$31</f>
        <v/>
      </c>
      <c r="L43" s="58">
        <f>K43-I43</f>
        <v/>
      </c>
      <c r="M43" s="59">
        <f>IF(L43&gt;=0,1,0)</f>
        <v/>
      </c>
      <c r="N43" s="56">
        <f>Inputs!$E$33+MAX(0,MIN(B43,Inputs!$E$35)-MAX(0,C43))*Inputs!$E$36+MAX(0,MIN(B43,Inputs!$E$37)-MAX(Inputs!$E$35,C43))*Inputs!$E$38+MAX(0,MIN(B43,Inputs!$E$39)-MAX(Inputs!$E$37,C43))*Inputs!$E$40+MAX(0,B43-MAX(Inputs!$E$39,C43))*Inputs!$E$41</f>
        <v/>
      </c>
      <c r="O43" s="57">
        <f>(B43*(Inputs!$F$16-Inputs!$F$20/10000)+N43)/B43</f>
        <v/>
      </c>
      <c r="P43" s="56">
        <f>B43*Inputs!$F$20/10000+(B43/Inputs!$F$22*Inputs!$F$23+B43*Inputs!$F$25)*(Inputs!$F$13-Inputs!$F$14*O43)+Inputs!$F$27*Inputs!$F$28*Inputs!$F$29*(1+Inputs!$F$30*Inputs!$F$31/12)/Inputs!$F$31</f>
        <v/>
      </c>
      <c r="Q43" s="58">
        <f>P43-N43</f>
        <v/>
      </c>
      <c r="R43" s="59">
        <f>IF(Q43&gt;=0,1,0)</f>
        <v/>
      </c>
    </row>
    <row r="44">
      <c r="A44" s="60">
        <f>A43+5000</f>
        <v/>
      </c>
      <c r="B44" s="56">
        <f>A44*Inputs!$E$6</f>
        <v/>
      </c>
      <c r="C44" s="56">
        <f>MIN(B44,Inputs!$E$34)</f>
        <v/>
      </c>
      <c r="D44" s="56">
        <f>Inputs!$E$33+MAX(0,MIN(B44,Inputs!$E$35)-MAX(0,C44))*Inputs!$E$36+MAX(0,MIN(B44,Inputs!$E$37)-MAX(Inputs!$E$35,C44))*Inputs!$E$38+MAX(0,MIN(B44,Inputs!$E$39)-MAX(Inputs!$E$37,C44))*Inputs!$E$40+MAX(0,B44-MAX(Inputs!$E$39,C44))*Inputs!$E$41</f>
        <v/>
      </c>
      <c r="E44" s="57">
        <f>(B44*(Inputs!$D$16-Inputs!$D$20/10000)+D44)/B44</f>
        <v/>
      </c>
      <c r="F44" s="56">
        <f>B44*Inputs!$D$20/10000+(B44/Inputs!$D$22*Inputs!$D$23+B44*Inputs!$D$25)*(Inputs!$D$13-Inputs!$D$14*E44)+Inputs!$D$27*Inputs!$D$28*Inputs!$D$29*(1+Inputs!$D$30*Inputs!$D$31/12)/Inputs!$D$31</f>
        <v/>
      </c>
      <c r="G44" s="58">
        <f>F44-D44</f>
        <v/>
      </c>
      <c r="H44" s="59">
        <f>IF(G44&gt;=0,1,0)</f>
        <v/>
      </c>
      <c r="I44" s="56">
        <f>Inputs!$E$33+MAX(0,MIN(B44,Inputs!$E$35)-MAX(0,C44))*Inputs!$E$36+MAX(0,MIN(B44,Inputs!$E$37)-MAX(Inputs!$E$35,C44))*Inputs!$E$38+MAX(0,MIN(B44,Inputs!$E$39)-MAX(Inputs!$E$37,C44))*Inputs!$E$40+MAX(0,B44-MAX(Inputs!$E$39,C44))*Inputs!$E$41</f>
        <v/>
      </c>
      <c r="J44" s="57">
        <f>(B44*(Inputs!$E$16-Inputs!$E$20/10000)+I44)/B44</f>
        <v/>
      </c>
      <c r="K44" s="56">
        <f>B44*Inputs!$E$20/10000+(B44/Inputs!$E$22*Inputs!$E$23+B44*Inputs!$E$25)*(Inputs!$E$13-Inputs!$E$14*J44)+Inputs!$E$27*Inputs!$E$28*Inputs!$E$29*(1+Inputs!$E$30*Inputs!$E$31/12)/Inputs!$E$31</f>
        <v/>
      </c>
      <c r="L44" s="58">
        <f>K44-I44</f>
        <v/>
      </c>
      <c r="M44" s="59">
        <f>IF(L44&gt;=0,1,0)</f>
        <v/>
      </c>
      <c r="N44" s="56">
        <f>Inputs!$E$33+MAX(0,MIN(B44,Inputs!$E$35)-MAX(0,C44))*Inputs!$E$36+MAX(0,MIN(B44,Inputs!$E$37)-MAX(Inputs!$E$35,C44))*Inputs!$E$38+MAX(0,MIN(B44,Inputs!$E$39)-MAX(Inputs!$E$37,C44))*Inputs!$E$40+MAX(0,B44-MAX(Inputs!$E$39,C44))*Inputs!$E$41</f>
        <v/>
      </c>
      <c r="O44" s="57">
        <f>(B44*(Inputs!$F$16-Inputs!$F$20/10000)+N44)/B44</f>
        <v/>
      </c>
      <c r="P44" s="56">
        <f>B44*Inputs!$F$20/10000+(B44/Inputs!$F$22*Inputs!$F$23+B44*Inputs!$F$25)*(Inputs!$F$13-Inputs!$F$14*O44)+Inputs!$F$27*Inputs!$F$28*Inputs!$F$29*(1+Inputs!$F$30*Inputs!$F$31/12)/Inputs!$F$31</f>
        <v/>
      </c>
      <c r="Q44" s="58">
        <f>P44-N44</f>
        <v/>
      </c>
      <c r="R44" s="59">
        <f>IF(Q44&gt;=0,1,0)</f>
        <v/>
      </c>
    </row>
    <row r="45">
      <c r="A45" s="60">
        <f>A44+5000</f>
        <v/>
      </c>
      <c r="B45" s="56">
        <f>A45*Inputs!$E$6</f>
        <v/>
      </c>
      <c r="C45" s="56">
        <f>MIN(B45,Inputs!$E$34)</f>
        <v/>
      </c>
      <c r="D45" s="56">
        <f>Inputs!$E$33+MAX(0,MIN(B45,Inputs!$E$35)-MAX(0,C45))*Inputs!$E$36+MAX(0,MIN(B45,Inputs!$E$37)-MAX(Inputs!$E$35,C45))*Inputs!$E$38+MAX(0,MIN(B45,Inputs!$E$39)-MAX(Inputs!$E$37,C45))*Inputs!$E$40+MAX(0,B45-MAX(Inputs!$E$39,C45))*Inputs!$E$41</f>
        <v/>
      </c>
      <c r="E45" s="57">
        <f>(B45*(Inputs!$D$16-Inputs!$D$20/10000)+D45)/B45</f>
        <v/>
      </c>
      <c r="F45" s="56">
        <f>B45*Inputs!$D$20/10000+(B45/Inputs!$D$22*Inputs!$D$23+B45*Inputs!$D$25)*(Inputs!$D$13-Inputs!$D$14*E45)+Inputs!$D$27*Inputs!$D$28*Inputs!$D$29*(1+Inputs!$D$30*Inputs!$D$31/12)/Inputs!$D$31</f>
        <v/>
      </c>
      <c r="G45" s="58">
        <f>F45-D45</f>
        <v/>
      </c>
      <c r="H45" s="59">
        <f>IF(G45&gt;=0,1,0)</f>
        <v/>
      </c>
      <c r="I45" s="56">
        <f>Inputs!$E$33+MAX(0,MIN(B45,Inputs!$E$35)-MAX(0,C45))*Inputs!$E$36+MAX(0,MIN(B45,Inputs!$E$37)-MAX(Inputs!$E$35,C45))*Inputs!$E$38+MAX(0,MIN(B45,Inputs!$E$39)-MAX(Inputs!$E$37,C45))*Inputs!$E$40+MAX(0,B45-MAX(Inputs!$E$39,C45))*Inputs!$E$41</f>
        <v/>
      </c>
      <c r="J45" s="57">
        <f>(B45*(Inputs!$E$16-Inputs!$E$20/10000)+I45)/B45</f>
        <v/>
      </c>
      <c r="K45" s="56">
        <f>B45*Inputs!$E$20/10000+(B45/Inputs!$E$22*Inputs!$E$23+B45*Inputs!$E$25)*(Inputs!$E$13-Inputs!$E$14*J45)+Inputs!$E$27*Inputs!$E$28*Inputs!$E$29*(1+Inputs!$E$30*Inputs!$E$31/12)/Inputs!$E$31</f>
        <v/>
      </c>
      <c r="L45" s="58">
        <f>K45-I45</f>
        <v/>
      </c>
      <c r="M45" s="59">
        <f>IF(L45&gt;=0,1,0)</f>
        <v/>
      </c>
      <c r="N45" s="56">
        <f>Inputs!$E$33+MAX(0,MIN(B45,Inputs!$E$35)-MAX(0,C45))*Inputs!$E$36+MAX(0,MIN(B45,Inputs!$E$37)-MAX(Inputs!$E$35,C45))*Inputs!$E$38+MAX(0,MIN(B45,Inputs!$E$39)-MAX(Inputs!$E$37,C45))*Inputs!$E$40+MAX(0,B45-MAX(Inputs!$E$39,C45))*Inputs!$E$41</f>
        <v/>
      </c>
      <c r="O45" s="57">
        <f>(B45*(Inputs!$F$16-Inputs!$F$20/10000)+N45)/B45</f>
        <v/>
      </c>
      <c r="P45" s="56">
        <f>B45*Inputs!$F$20/10000+(B45/Inputs!$F$22*Inputs!$F$23+B45*Inputs!$F$25)*(Inputs!$F$13-Inputs!$F$14*O45)+Inputs!$F$27*Inputs!$F$28*Inputs!$F$29*(1+Inputs!$F$30*Inputs!$F$31/12)/Inputs!$F$31</f>
        <v/>
      </c>
      <c r="Q45" s="58">
        <f>P45-N45</f>
        <v/>
      </c>
      <c r="R45" s="59">
        <f>IF(Q45&gt;=0,1,0)</f>
        <v/>
      </c>
    </row>
    <row r="46">
      <c r="A46" s="60">
        <f>A45+5000</f>
        <v/>
      </c>
      <c r="B46" s="56">
        <f>A46*Inputs!$E$6</f>
        <v/>
      </c>
      <c r="C46" s="56">
        <f>MIN(B46,Inputs!$E$34)</f>
        <v/>
      </c>
      <c r="D46" s="56">
        <f>Inputs!$E$33+MAX(0,MIN(B46,Inputs!$E$35)-MAX(0,C46))*Inputs!$E$36+MAX(0,MIN(B46,Inputs!$E$37)-MAX(Inputs!$E$35,C46))*Inputs!$E$38+MAX(0,MIN(B46,Inputs!$E$39)-MAX(Inputs!$E$37,C46))*Inputs!$E$40+MAX(0,B46-MAX(Inputs!$E$39,C46))*Inputs!$E$41</f>
        <v/>
      </c>
      <c r="E46" s="57">
        <f>(B46*(Inputs!$D$16-Inputs!$D$20/10000)+D46)/B46</f>
        <v/>
      </c>
      <c r="F46" s="56">
        <f>B46*Inputs!$D$20/10000+(B46/Inputs!$D$22*Inputs!$D$23+B46*Inputs!$D$25)*(Inputs!$D$13-Inputs!$D$14*E46)+Inputs!$D$27*Inputs!$D$28*Inputs!$D$29*(1+Inputs!$D$30*Inputs!$D$31/12)/Inputs!$D$31</f>
        <v/>
      </c>
      <c r="G46" s="58">
        <f>F46-D46</f>
        <v/>
      </c>
      <c r="H46" s="59">
        <f>IF(G46&gt;=0,1,0)</f>
        <v/>
      </c>
      <c r="I46" s="56">
        <f>Inputs!$E$33+MAX(0,MIN(B46,Inputs!$E$35)-MAX(0,C46))*Inputs!$E$36+MAX(0,MIN(B46,Inputs!$E$37)-MAX(Inputs!$E$35,C46))*Inputs!$E$38+MAX(0,MIN(B46,Inputs!$E$39)-MAX(Inputs!$E$37,C46))*Inputs!$E$40+MAX(0,B46-MAX(Inputs!$E$39,C46))*Inputs!$E$41</f>
        <v/>
      </c>
      <c r="J46" s="57">
        <f>(B46*(Inputs!$E$16-Inputs!$E$20/10000)+I46)/B46</f>
        <v/>
      </c>
      <c r="K46" s="56">
        <f>B46*Inputs!$E$20/10000+(B46/Inputs!$E$22*Inputs!$E$23+B46*Inputs!$E$25)*(Inputs!$E$13-Inputs!$E$14*J46)+Inputs!$E$27*Inputs!$E$28*Inputs!$E$29*(1+Inputs!$E$30*Inputs!$E$31/12)/Inputs!$E$31</f>
        <v/>
      </c>
      <c r="L46" s="58">
        <f>K46-I46</f>
        <v/>
      </c>
      <c r="M46" s="59">
        <f>IF(L46&gt;=0,1,0)</f>
        <v/>
      </c>
      <c r="N46" s="56">
        <f>Inputs!$E$33+MAX(0,MIN(B46,Inputs!$E$35)-MAX(0,C46))*Inputs!$E$36+MAX(0,MIN(B46,Inputs!$E$37)-MAX(Inputs!$E$35,C46))*Inputs!$E$38+MAX(0,MIN(B46,Inputs!$E$39)-MAX(Inputs!$E$37,C46))*Inputs!$E$40+MAX(0,B46-MAX(Inputs!$E$39,C46))*Inputs!$E$41</f>
        <v/>
      </c>
      <c r="O46" s="57">
        <f>(B46*(Inputs!$F$16-Inputs!$F$20/10000)+N46)/B46</f>
        <v/>
      </c>
      <c r="P46" s="56">
        <f>B46*Inputs!$F$20/10000+(B46/Inputs!$F$22*Inputs!$F$23+B46*Inputs!$F$25)*(Inputs!$F$13-Inputs!$F$14*O46)+Inputs!$F$27*Inputs!$F$28*Inputs!$F$29*(1+Inputs!$F$30*Inputs!$F$31/12)/Inputs!$F$31</f>
        <v/>
      </c>
      <c r="Q46" s="58">
        <f>P46-N46</f>
        <v/>
      </c>
      <c r="R46" s="59">
        <f>IF(Q46&gt;=0,1,0)</f>
        <v/>
      </c>
    </row>
    <row r="47">
      <c r="A47" s="60">
        <f>A46+5000</f>
        <v/>
      </c>
      <c r="B47" s="56">
        <f>A47*Inputs!$E$6</f>
        <v/>
      </c>
      <c r="C47" s="56">
        <f>MIN(B47,Inputs!$E$34)</f>
        <v/>
      </c>
      <c r="D47" s="56">
        <f>Inputs!$E$33+MAX(0,MIN(B47,Inputs!$E$35)-MAX(0,C47))*Inputs!$E$36+MAX(0,MIN(B47,Inputs!$E$37)-MAX(Inputs!$E$35,C47))*Inputs!$E$38+MAX(0,MIN(B47,Inputs!$E$39)-MAX(Inputs!$E$37,C47))*Inputs!$E$40+MAX(0,B47-MAX(Inputs!$E$39,C47))*Inputs!$E$41</f>
        <v/>
      </c>
      <c r="E47" s="57">
        <f>(B47*(Inputs!$D$16-Inputs!$D$20/10000)+D47)/B47</f>
        <v/>
      </c>
      <c r="F47" s="56">
        <f>B47*Inputs!$D$20/10000+(B47/Inputs!$D$22*Inputs!$D$23+B47*Inputs!$D$25)*(Inputs!$D$13-Inputs!$D$14*E47)+Inputs!$D$27*Inputs!$D$28*Inputs!$D$29*(1+Inputs!$D$30*Inputs!$D$31/12)/Inputs!$D$31</f>
        <v/>
      </c>
      <c r="G47" s="58">
        <f>F47-D47</f>
        <v/>
      </c>
      <c r="H47" s="59">
        <f>IF(G47&gt;=0,1,0)</f>
        <v/>
      </c>
      <c r="I47" s="56">
        <f>Inputs!$E$33+MAX(0,MIN(B47,Inputs!$E$35)-MAX(0,C47))*Inputs!$E$36+MAX(0,MIN(B47,Inputs!$E$37)-MAX(Inputs!$E$35,C47))*Inputs!$E$38+MAX(0,MIN(B47,Inputs!$E$39)-MAX(Inputs!$E$37,C47))*Inputs!$E$40+MAX(0,B47-MAX(Inputs!$E$39,C47))*Inputs!$E$41</f>
        <v/>
      </c>
      <c r="J47" s="57">
        <f>(B47*(Inputs!$E$16-Inputs!$E$20/10000)+I47)/B47</f>
        <v/>
      </c>
      <c r="K47" s="56">
        <f>B47*Inputs!$E$20/10000+(B47/Inputs!$E$22*Inputs!$E$23+B47*Inputs!$E$25)*(Inputs!$E$13-Inputs!$E$14*J47)+Inputs!$E$27*Inputs!$E$28*Inputs!$E$29*(1+Inputs!$E$30*Inputs!$E$31/12)/Inputs!$E$31</f>
        <v/>
      </c>
      <c r="L47" s="58">
        <f>K47-I47</f>
        <v/>
      </c>
      <c r="M47" s="59">
        <f>IF(L47&gt;=0,1,0)</f>
        <v/>
      </c>
      <c r="N47" s="56">
        <f>Inputs!$E$33+MAX(0,MIN(B47,Inputs!$E$35)-MAX(0,C47))*Inputs!$E$36+MAX(0,MIN(B47,Inputs!$E$37)-MAX(Inputs!$E$35,C47))*Inputs!$E$38+MAX(0,MIN(B47,Inputs!$E$39)-MAX(Inputs!$E$37,C47))*Inputs!$E$40+MAX(0,B47-MAX(Inputs!$E$39,C47))*Inputs!$E$41</f>
        <v/>
      </c>
      <c r="O47" s="57">
        <f>(B47*(Inputs!$F$16-Inputs!$F$20/10000)+N47)/B47</f>
        <v/>
      </c>
      <c r="P47" s="56">
        <f>B47*Inputs!$F$20/10000+(B47/Inputs!$F$22*Inputs!$F$23+B47*Inputs!$F$25)*(Inputs!$F$13-Inputs!$F$14*O47)+Inputs!$F$27*Inputs!$F$28*Inputs!$F$29*(1+Inputs!$F$30*Inputs!$F$31/12)/Inputs!$F$31</f>
        <v/>
      </c>
      <c r="Q47" s="58">
        <f>P47-N47</f>
        <v/>
      </c>
      <c r="R47" s="59">
        <f>IF(Q47&gt;=0,1,0)</f>
        <v/>
      </c>
    </row>
    <row r="48">
      <c r="A48" s="60">
        <f>A47+5000</f>
        <v/>
      </c>
      <c r="B48" s="56">
        <f>A48*Inputs!$E$6</f>
        <v/>
      </c>
      <c r="C48" s="56">
        <f>MIN(B48,Inputs!$E$34)</f>
        <v/>
      </c>
      <c r="D48" s="56">
        <f>Inputs!$E$33+MAX(0,MIN(B48,Inputs!$E$35)-MAX(0,C48))*Inputs!$E$36+MAX(0,MIN(B48,Inputs!$E$37)-MAX(Inputs!$E$35,C48))*Inputs!$E$38+MAX(0,MIN(B48,Inputs!$E$39)-MAX(Inputs!$E$37,C48))*Inputs!$E$40+MAX(0,B48-MAX(Inputs!$E$39,C48))*Inputs!$E$41</f>
        <v/>
      </c>
      <c r="E48" s="57">
        <f>(B48*(Inputs!$D$16-Inputs!$D$20/10000)+D48)/B48</f>
        <v/>
      </c>
      <c r="F48" s="56">
        <f>B48*Inputs!$D$20/10000+(B48/Inputs!$D$22*Inputs!$D$23+B48*Inputs!$D$25)*(Inputs!$D$13-Inputs!$D$14*E48)+Inputs!$D$27*Inputs!$D$28*Inputs!$D$29*(1+Inputs!$D$30*Inputs!$D$31/12)/Inputs!$D$31</f>
        <v/>
      </c>
      <c r="G48" s="58">
        <f>F48-D48</f>
        <v/>
      </c>
      <c r="H48" s="59">
        <f>IF(G48&gt;=0,1,0)</f>
        <v/>
      </c>
      <c r="I48" s="56">
        <f>Inputs!$E$33+MAX(0,MIN(B48,Inputs!$E$35)-MAX(0,C48))*Inputs!$E$36+MAX(0,MIN(B48,Inputs!$E$37)-MAX(Inputs!$E$35,C48))*Inputs!$E$38+MAX(0,MIN(B48,Inputs!$E$39)-MAX(Inputs!$E$37,C48))*Inputs!$E$40+MAX(0,B48-MAX(Inputs!$E$39,C48))*Inputs!$E$41</f>
        <v/>
      </c>
      <c r="J48" s="57">
        <f>(B48*(Inputs!$E$16-Inputs!$E$20/10000)+I48)/B48</f>
        <v/>
      </c>
      <c r="K48" s="56">
        <f>B48*Inputs!$E$20/10000+(B48/Inputs!$E$22*Inputs!$E$23+B48*Inputs!$E$25)*(Inputs!$E$13-Inputs!$E$14*J48)+Inputs!$E$27*Inputs!$E$28*Inputs!$E$29*(1+Inputs!$E$30*Inputs!$E$31/12)/Inputs!$E$31</f>
        <v/>
      </c>
      <c r="L48" s="58">
        <f>K48-I48</f>
        <v/>
      </c>
      <c r="M48" s="59">
        <f>IF(L48&gt;=0,1,0)</f>
        <v/>
      </c>
      <c r="N48" s="56">
        <f>Inputs!$E$33+MAX(0,MIN(B48,Inputs!$E$35)-MAX(0,C48))*Inputs!$E$36+MAX(0,MIN(B48,Inputs!$E$37)-MAX(Inputs!$E$35,C48))*Inputs!$E$38+MAX(0,MIN(B48,Inputs!$E$39)-MAX(Inputs!$E$37,C48))*Inputs!$E$40+MAX(0,B48-MAX(Inputs!$E$39,C48))*Inputs!$E$41</f>
        <v/>
      </c>
      <c r="O48" s="57">
        <f>(B48*(Inputs!$F$16-Inputs!$F$20/10000)+N48)/B48</f>
        <v/>
      </c>
      <c r="P48" s="56">
        <f>B48*Inputs!$F$20/10000+(B48/Inputs!$F$22*Inputs!$F$23+B48*Inputs!$F$25)*(Inputs!$F$13-Inputs!$F$14*O48)+Inputs!$F$27*Inputs!$F$28*Inputs!$F$29*(1+Inputs!$F$30*Inputs!$F$31/12)/Inputs!$F$31</f>
        <v/>
      </c>
      <c r="Q48" s="58">
        <f>P48-N48</f>
        <v/>
      </c>
      <c r="R48" s="59">
        <f>IF(Q48&gt;=0,1,0)</f>
        <v/>
      </c>
    </row>
    <row r="49">
      <c r="A49" s="60">
        <f>A48+5000</f>
        <v/>
      </c>
      <c r="B49" s="56">
        <f>A49*Inputs!$E$6</f>
        <v/>
      </c>
      <c r="C49" s="56">
        <f>MIN(B49,Inputs!$E$34)</f>
        <v/>
      </c>
      <c r="D49" s="56">
        <f>Inputs!$E$33+MAX(0,MIN(B49,Inputs!$E$35)-MAX(0,C49))*Inputs!$E$36+MAX(0,MIN(B49,Inputs!$E$37)-MAX(Inputs!$E$35,C49))*Inputs!$E$38+MAX(0,MIN(B49,Inputs!$E$39)-MAX(Inputs!$E$37,C49))*Inputs!$E$40+MAX(0,B49-MAX(Inputs!$E$39,C49))*Inputs!$E$41</f>
        <v/>
      </c>
      <c r="E49" s="57">
        <f>(B49*(Inputs!$D$16-Inputs!$D$20/10000)+D49)/B49</f>
        <v/>
      </c>
      <c r="F49" s="56">
        <f>B49*Inputs!$D$20/10000+(B49/Inputs!$D$22*Inputs!$D$23+B49*Inputs!$D$25)*(Inputs!$D$13-Inputs!$D$14*E49)+Inputs!$D$27*Inputs!$D$28*Inputs!$D$29*(1+Inputs!$D$30*Inputs!$D$31/12)/Inputs!$D$31</f>
        <v/>
      </c>
      <c r="G49" s="58">
        <f>F49-D49</f>
        <v/>
      </c>
      <c r="H49" s="59">
        <f>IF(G49&gt;=0,1,0)</f>
        <v/>
      </c>
      <c r="I49" s="56">
        <f>Inputs!$E$33+MAX(0,MIN(B49,Inputs!$E$35)-MAX(0,C49))*Inputs!$E$36+MAX(0,MIN(B49,Inputs!$E$37)-MAX(Inputs!$E$35,C49))*Inputs!$E$38+MAX(0,MIN(B49,Inputs!$E$39)-MAX(Inputs!$E$37,C49))*Inputs!$E$40+MAX(0,B49-MAX(Inputs!$E$39,C49))*Inputs!$E$41</f>
        <v/>
      </c>
      <c r="J49" s="57">
        <f>(B49*(Inputs!$E$16-Inputs!$E$20/10000)+I49)/B49</f>
        <v/>
      </c>
      <c r="K49" s="56">
        <f>B49*Inputs!$E$20/10000+(B49/Inputs!$E$22*Inputs!$E$23+B49*Inputs!$E$25)*(Inputs!$E$13-Inputs!$E$14*J49)+Inputs!$E$27*Inputs!$E$28*Inputs!$E$29*(1+Inputs!$E$30*Inputs!$E$31/12)/Inputs!$E$31</f>
        <v/>
      </c>
      <c r="L49" s="58">
        <f>K49-I49</f>
        <v/>
      </c>
      <c r="M49" s="59">
        <f>IF(L49&gt;=0,1,0)</f>
        <v/>
      </c>
      <c r="N49" s="56">
        <f>Inputs!$E$33+MAX(0,MIN(B49,Inputs!$E$35)-MAX(0,C49))*Inputs!$E$36+MAX(0,MIN(B49,Inputs!$E$37)-MAX(Inputs!$E$35,C49))*Inputs!$E$38+MAX(0,MIN(B49,Inputs!$E$39)-MAX(Inputs!$E$37,C49))*Inputs!$E$40+MAX(0,B49-MAX(Inputs!$E$39,C49))*Inputs!$E$41</f>
        <v/>
      </c>
      <c r="O49" s="57">
        <f>(B49*(Inputs!$F$16-Inputs!$F$20/10000)+N49)/B49</f>
        <v/>
      </c>
      <c r="P49" s="56">
        <f>B49*Inputs!$F$20/10000+(B49/Inputs!$F$22*Inputs!$F$23+B49*Inputs!$F$25)*(Inputs!$F$13-Inputs!$F$14*O49)+Inputs!$F$27*Inputs!$F$28*Inputs!$F$29*(1+Inputs!$F$30*Inputs!$F$31/12)/Inputs!$F$31</f>
        <v/>
      </c>
      <c r="Q49" s="58">
        <f>P49-N49</f>
        <v/>
      </c>
      <c r="R49" s="59">
        <f>IF(Q49&gt;=0,1,0)</f>
        <v/>
      </c>
    </row>
    <row r="50">
      <c r="A50" s="60">
        <f>A49+5000</f>
        <v/>
      </c>
      <c r="B50" s="56">
        <f>A50*Inputs!$E$6</f>
        <v/>
      </c>
      <c r="C50" s="56">
        <f>MIN(B50,Inputs!$E$34)</f>
        <v/>
      </c>
      <c r="D50" s="56">
        <f>Inputs!$E$33+MAX(0,MIN(B50,Inputs!$E$35)-MAX(0,C50))*Inputs!$E$36+MAX(0,MIN(B50,Inputs!$E$37)-MAX(Inputs!$E$35,C50))*Inputs!$E$38+MAX(0,MIN(B50,Inputs!$E$39)-MAX(Inputs!$E$37,C50))*Inputs!$E$40+MAX(0,B50-MAX(Inputs!$E$39,C50))*Inputs!$E$41</f>
        <v/>
      </c>
      <c r="E50" s="57">
        <f>(B50*(Inputs!$D$16-Inputs!$D$20/10000)+D50)/B50</f>
        <v/>
      </c>
      <c r="F50" s="56">
        <f>B50*Inputs!$D$20/10000+(B50/Inputs!$D$22*Inputs!$D$23+B50*Inputs!$D$25)*(Inputs!$D$13-Inputs!$D$14*E50)+Inputs!$D$27*Inputs!$D$28*Inputs!$D$29*(1+Inputs!$D$30*Inputs!$D$31/12)/Inputs!$D$31</f>
        <v/>
      </c>
      <c r="G50" s="58">
        <f>F50-D50</f>
        <v/>
      </c>
      <c r="H50" s="59">
        <f>IF(G50&gt;=0,1,0)</f>
        <v/>
      </c>
      <c r="I50" s="56">
        <f>Inputs!$E$33+MAX(0,MIN(B50,Inputs!$E$35)-MAX(0,C50))*Inputs!$E$36+MAX(0,MIN(B50,Inputs!$E$37)-MAX(Inputs!$E$35,C50))*Inputs!$E$38+MAX(0,MIN(B50,Inputs!$E$39)-MAX(Inputs!$E$37,C50))*Inputs!$E$40+MAX(0,B50-MAX(Inputs!$E$39,C50))*Inputs!$E$41</f>
        <v/>
      </c>
      <c r="J50" s="57">
        <f>(B50*(Inputs!$E$16-Inputs!$E$20/10000)+I50)/B50</f>
        <v/>
      </c>
      <c r="K50" s="56">
        <f>B50*Inputs!$E$20/10000+(B50/Inputs!$E$22*Inputs!$E$23+B50*Inputs!$E$25)*(Inputs!$E$13-Inputs!$E$14*J50)+Inputs!$E$27*Inputs!$E$28*Inputs!$E$29*(1+Inputs!$E$30*Inputs!$E$31/12)/Inputs!$E$31</f>
        <v/>
      </c>
      <c r="L50" s="58">
        <f>K50-I50</f>
        <v/>
      </c>
      <c r="M50" s="59">
        <f>IF(L50&gt;=0,1,0)</f>
        <v/>
      </c>
      <c r="N50" s="56">
        <f>Inputs!$E$33+MAX(0,MIN(B50,Inputs!$E$35)-MAX(0,C50))*Inputs!$E$36+MAX(0,MIN(B50,Inputs!$E$37)-MAX(Inputs!$E$35,C50))*Inputs!$E$38+MAX(0,MIN(B50,Inputs!$E$39)-MAX(Inputs!$E$37,C50))*Inputs!$E$40+MAX(0,B50-MAX(Inputs!$E$39,C50))*Inputs!$E$41</f>
        <v/>
      </c>
      <c r="O50" s="57">
        <f>(B50*(Inputs!$F$16-Inputs!$F$20/10000)+N50)/B50</f>
        <v/>
      </c>
      <c r="P50" s="56">
        <f>B50*Inputs!$F$20/10000+(B50/Inputs!$F$22*Inputs!$F$23+B50*Inputs!$F$25)*(Inputs!$F$13-Inputs!$F$14*O50)+Inputs!$F$27*Inputs!$F$28*Inputs!$F$29*(1+Inputs!$F$30*Inputs!$F$31/12)/Inputs!$F$31</f>
        <v/>
      </c>
      <c r="Q50" s="58">
        <f>P50-N50</f>
        <v/>
      </c>
      <c r="R50" s="59">
        <f>IF(Q50&gt;=0,1,0)</f>
        <v/>
      </c>
    </row>
    <row r="51">
      <c r="A51" s="60">
        <f>A50+5000</f>
        <v/>
      </c>
      <c r="B51" s="56">
        <f>A51*Inputs!$E$6</f>
        <v/>
      </c>
      <c r="C51" s="56">
        <f>MIN(B51,Inputs!$E$34)</f>
        <v/>
      </c>
      <c r="D51" s="56">
        <f>Inputs!$E$33+MAX(0,MIN(B51,Inputs!$E$35)-MAX(0,C51))*Inputs!$E$36+MAX(0,MIN(B51,Inputs!$E$37)-MAX(Inputs!$E$35,C51))*Inputs!$E$38+MAX(0,MIN(B51,Inputs!$E$39)-MAX(Inputs!$E$37,C51))*Inputs!$E$40+MAX(0,B51-MAX(Inputs!$E$39,C51))*Inputs!$E$41</f>
        <v/>
      </c>
      <c r="E51" s="57">
        <f>(B51*(Inputs!$D$16-Inputs!$D$20/10000)+D51)/B51</f>
        <v/>
      </c>
      <c r="F51" s="56">
        <f>B51*Inputs!$D$20/10000+(B51/Inputs!$D$22*Inputs!$D$23+B51*Inputs!$D$25)*(Inputs!$D$13-Inputs!$D$14*E51)+Inputs!$D$27*Inputs!$D$28*Inputs!$D$29*(1+Inputs!$D$30*Inputs!$D$31/12)/Inputs!$D$31</f>
        <v/>
      </c>
      <c r="G51" s="58">
        <f>F51-D51</f>
        <v/>
      </c>
      <c r="H51" s="59">
        <f>IF(G51&gt;=0,1,0)</f>
        <v/>
      </c>
      <c r="I51" s="56">
        <f>Inputs!$E$33+MAX(0,MIN(B51,Inputs!$E$35)-MAX(0,C51))*Inputs!$E$36+MAX(0,MIN(B51,Inputs!$E$37)-MAX(Inputs!$E$35,C51))*Inputs!$E$38+MAX(0,MIN(B51,Inputs!$E$39)-MAX(Inputs!$E$37,C51))*Inputs!$E$40+MAX(0,B51-MAX(Inputs!$E$39,C51))*Inputs!$E$41</f>
        <v/>
      </c>
      <c r="J51" s="57">
        <f>(B51*(Inputs!$E$16-Inputs!$E$20/10000)+I51)/B51</f>
        <v/>
      </c>
      <c r="K51" s="56">
        <f>B51*Inputs!$E$20/10000+(B51/Inputs!$E$22*Inputs!$E$23+B51*Inputs!$E$25)*(Inputs!$E$13-Inputs!$E$14*J51)+Inputs!$E$27*Inputs!$E$28*Inputs!$E$29*(1+Inputs!$E$30*Inputs!$E$31/12)/Inputs!$E$31</f>
        <v/>
      </c>
      <c r="L51" s="58">
        <f>K51-I51</f>
        <v/>
      </c>
      <c r="M51" s="59">
        <f>IF(L51&gt;=0,1,0)</f>
        <v/>
      </c>
      <c r="N51" s="56">
        <f>Inputs!$E$33+MAX(0,MIN(B51,Inputs!$E$35)-MAX(0,C51))*Inputs!$E$36+MAX(0,MIN(B51,Inputs!$E$37)-MAX(Inputs!$E$35,C51))*Inputs!$E$38+MAX(0,MIN(B51,Inputs!$E$39)-MAX(Inputs!$E$37,C51))*Inputs!$E$40+MAX(0,B51-MAX(Inputs!$E$39,C51))*Inputs!$E$41</f>
        <v/>
      </c>
      <c r="O51" s="57">
        <f>(B51*(Inputs!$F$16-Inputs!$F$20/10000)+N51)/B51</f>
        <v/>
      </c>
      <c r="P51" s="56">
        <f>B51*Inputs!$F$20/10000+(B51/Inputs!$F$22*Inputs!$F$23+B51*Inputs!$F$25)*(Inputs!$F$13-Inputs!$F$14*O51)+Inputs!$F$27*Inputs!$F$28*Inputs!$F$29*(1+Inputs!$F$30*Inputs!$F$31/12)/Inputs!$F$31</f>
        <v/>
      </c>
      <c r="Q51" s="58">
        <f>P51-N51</f>
        <v/>
      </c>
      <c r="R51" s="59">
        <f>IF(Q51&gt;=0,1,0)</f>
        <v/>
      </c>
    </row>
    <row r="52">
      <c r="A52" s="60">
        <f>A51+5000</f>
        <v/>
      </c>
      <c r="B52" s="56">
        <f>A52*Inputs!$E$6</f>
        <v/>
      </c>
      <c r="C52" s="56">
        <f>MIN(B52,Inputs!$E$34)</f>
        <v/>
      </c>
      <c r="D52" s="56">
        <f>Inputs!$E$33+MAX(0,MIN(B52,Inputs!$E$35)-MAX(0,C52))*Inputs!$E$36+MAX(0,MIN(B52,Inputs!$E$37)-MAX(Inputs!$E$35,C52))*Inputs!$E$38+MAX(0,MIN(B52,Inputs!$E$39)-MAX(Inputs!$E$37,C52))*Inputs!$E$40+MAX(0,B52-MAX(Inputs!$E$39,C52))*Inputs!$E$41</f>
        <v/>
      </c>
      <c r="E52" s="57">
        <f>(B52*(Inputs!$D$16-Inputs!$D$20/10000)+D52)/B52</f>
        <v/>
      </c>
      <c r="F52" s="56">
        <f>B52*Inputs!$D$20/10000+(B52/Inputs!$D$22*Inputs!$D$23+B52*Inputs!$D$25)*(Inputs!$D$13-Inputs!$D$14*E52)+Inputs!$D$27*Inputs!$D$28*Inputs!$D$29*(1+Inputs!$D$30*Inputs!$D$31/12)/Inputs!$D$31</f>
        <v/>
      </c>
      <c r="G52" s="58">
        <f>F52-D52</f>
        <v/>
      </c>
      <c r="H52" s="59">
        <f>IF(G52&gt;=0,1,0)</f>
        <v/>
      </c>
      <c r="I52" s="56">
        <f>Inputs!$E$33+MAX(0,MIN(B52,Inputs!$E$35)-MAX(0,C52))*Inputs!$E$36+MAX(0,MIN(B52,Inputs!$E$37)-MAX(Inputs!$E$35,C52))*Inputs!$E$38+MAX(0,MIN(B52,Inputs!$E$39)-MAX(Inputs!$E$37,C52))*Inputs!$E$40+MAX(0,B52-MAX(Inputs!$E$39,C52))*Inputs!$E$41</f>
        <v/>
      </c>
      <c r="J52" s="57">
        <f>(B52*(Inputs!$E$16-Inputs!$E$20/10000)+I52)/B52</f>
        <v/>
      </c>
      <c r="K52" s="56">
        <f>B52*Inputs!$E$20/10000+(B52/Inputs!$E$22*Inputs!$E$23+B52*Inputs!$E$25)*(Inputs!$E$13-Inputs!$E$14*J52)+Inputs!$E$27*Inputs!$E$28*Inputs!$E$29*(1+Inputs!$E$30*Inputs!$E$31/12)/Inputs!$E$31</f>
        <v/>
      </c>
      <c r="L52" s="58">
        <f>K52-I52</f>
        <v/>
      </c>
      <c r="M52" s="59">
        <f>IF(L52&gt;=0,1,0)</f>
        <v/>
      </c>
      <c r="N52" s="56">
        <f>Inputs!$E$33+MAX(0,MIN(B52,Inputs!$E$35)-MAX(0,C52))*Inputs!$E$36+MAX(0,MIN(B52,Inputs!$E$37)-MAX(Inputs!$E$35,C52))*Inputs!$E$38+MAX(0,MIN(B52,Inputs!$E$39)-MAX(Inputs!$E$37,C52))*Inputs!$E$40+MAX(0,B52-MAX(Inputs!$E$39,C52))*Inputs!$E$41</f>
        <v/>
      </c>
      <c r="O52" s="57">
        <f>(B52*(Inputs!$F$16-Inputs!$F$20/10000)+N52)/B52</f>
        <v/>
      </c>
      <c r="P52" s="56">
        <f>B52*Inputs!$F$20/10000+(B52/Inputs!$F$22*Inputs!$F$23+B52*Inputs!$F$25)*(Inputs!$F$13-Inputs!$F$14*O52)+Inputs!$F$27*Inputs!$F$28*Inputs!$F$29*(1+Inputs!$F$30*Inputs!$F$31/12)/Inputs!$F$31</f>
        <v/>
      </c>
      <c r="Q52" s="58">
        <f>P52-N52</f>
        <v/>
      </c>
      <c r="R52" s="59">
        <f>IF(Q52&gt;=0,1,0)</f>
        <v/>
      </c>
    </row>
    <row r="53">
      <c r="A53" s="60">
        <f>A52+5000</f>
        <v/>
      </c>
      <c r="B53" s="56">
        <f>A53*Inputs!$E$6</f>
        <v/>
      </c>
      <c r="C53" s="56">
        <f>MIN(B53,Inputs!$E$34)</f>
        <v/>
      </c>
      <c r="D53" s="56">
        <f>Inputs!$E$33+MAX(0,MIN(B53,Inputs!$E$35)-MAX(0,C53))*Inputs!$E$36+MAX(0,MIN(B53,Inputs!$E$37)-MAX(Inputs!$E$35,C53))*Inputs!$E$38+MAX(0,MIN(B53,Inputs!$E$39)-MAX(Inputs!$E$37,C53))*Inputs!$E$40+MAX(0,B53-MAX(Inputs!$E$39,C53))*Inputs!$E$41</f>
        <v/>
      </c>
      <c r="E53" s="57">
        <f>(B53*(Inputs!$D$16-Inputs!$D$20/10000)+D53)/B53</f>
        <v/>
      </c>
      <c r="F53" s="56">
        <f>B53*Inputs!$D$20/10000+(B53/Inputs!$D$22*Inputs!$D$23+B53*Inputs!$D$25)*(Inputs!$D$13-Inputs!$D$14*E53)+Inputs!$D$27*Inputs!$D$28*Inputs!$D$29*(1+Inputs!$D$30*Inputs!$D$31/12)/Inputs!$D$31</f>
        <v/>
      </c>
      <c r="G53" s="58">
        <f>F53-D53</f>
        <v/>
      </c>
      <c r="H53" s="59">
        <f>IF(G53&gt;=0,1,0)</f>
        <v/>
      </c>
      <c r="I53" s="56">
        <f>Inputs!$E$33+MAX(0,MIN(B53,Inputs!$E$35)-MAX(0,C53))*Inputs!$E$36+MAX(0,MIN(B53,Inputs!$E$37)-MAX(Inputs!$E$35,C53))*Inputs!$E$38+MAX(0,MIN(B53,Inputs!$E$39)-MAX(Inputs!$E$37,C53))*Inputs!$E$40+MAX(0,B53-MAX(Inputs!$E$39,C53))*Inputs!$E$41</f>
        <v/>
      </c>
      <c r="J53" s="57">
        <f>(B53*(Inputs!$E$16-Inputs!$E$20/10000)+I53)/B53</f>
        <v/>
      </c>
      <c r="K53" s="56">
        <f>B53*Inputs!$E$20/10000+(B53/Inputs!$E$22*Inputs!$E$23+B53*Inputs!$E$25)*(Inputs!$E$13-Inputs!$E$14*J53)+Inputs!$E$27*Inputs!$E$28*Inputs!$E$29*(1+Inputs!$E$30*Inputs!$E$31/12)/Inputs!$E$31</f>
        <v/>
      </c>
      <c r="L53" s="58">
        <f>K53-I53</f>
        <v/>
      </c>
      <c r="M53" s="59">
        <f>IF(L53&gt;=0,1,0)</f>
        <v/>
      </c>
      <c r="N53" s="56">
        <f>Inputs!$E$33+MAX(0,MIN(B53,Inputs!$E$35)-MAX(0,C53))*Inputs!$E$36+MAX(0,MIN(B53,Inputs!$E$37)-MAX(Inputs!$E$35,C53))*Inputs!$E$38+MAX(0,MIN(B53,Inputs!$E$39)-MAX(Inputs!$E$37,C53))*Inputs!$E$40+MAX(0,B53-MAX(Inputs!$E$39,C53))*Inputs!$E$41</f>
        <v/>
      </c>
      <c r="O53" s="57">
        <f>(B53*(Inputs!$F$16-Inputs!$F$20/10000)+N53)/B53</f>
        <v/>
      </c>
      <c r="P53" s="56">
        <f>B53*Inputs!$F$20/10000+(B53/Inputs!$F$22*Inputs!$F$23+B53*Inputs!$F$25)*(Inputs!$F$13-Inputs!$F$14*O53)+Inputs!$F$27*Inputs!$F$28*Inputs!$F$29*(1+Inputs!$F$30*Inputs!$F$31/12)/Inputs!$F$31</f>
        <v/>
      </c>
      <c r="Q53" s="58">
        <f>P53-N53</f>
        <v/>
      </c>
      <c r="R53" s="59">
        <f>IF(Q53&gt;=0,1,0)</f>
        <v/>
      </c>
    </row>
    <row r="54">
      <c r="A54" s="60">
        <f>A53+5000</f>
        <v/>
      </c>
      <c r="B54" s="56">
        <f>A54*Inputs!$E$6</f>
        <v/>
      </c>
      <c r="C54" s="56">
        <f>MIN(B54,Inputs!$E$34)</f>
        <v/>
      </c>
      <c r="D54" s="56">
        <f>Inputs!$E$33+MAX(0,MIN(B54,Inputs!$E$35)-MAX(0,C54))*Inputs!$E$36+MAX(0,MIN(B54,Inputs!$E$37)-MAX(Inputs!$E$35,C54))*Inputs!$E$38+MAX(0,MIN(B54,Inputs!$E$39)-MAX(Inputs!$E$37,C54))*Inputs!$E$40+MAX(0,B54-MAX(Inputs!$E$39,C54))*Inputs!$E$41</f>
        <v/>
      </c>
      <c r="E54" s="57">
        <f>(B54*(Inputs!$D$16-Inputs!$D$20/10000)+D54)/B54</f>
        <v/>
      </c>
      <c r="F54" s="56">
        <f>B54*Inputs!$D$20/10000+(B54/Inputs!$D$22*Inputs!$D$23+B54*Inputs!$D$25)*(Inputs!$D$13-Inputs!$D$14*E54)+Inputs!$D$27*Inputs!$D$28*Inputs!$D$29*(1+Inputs!$D$30*Inputs!$D$31/12)/Inputs!$D$31</f>
        <v/>
      </c>
      <c r="G54" s="58">
        <f>F54-D54</f>
        <v/>
      </c>
      <c r="H54" s="59">
        <f>IF(G54&gt;=0,1,0)</f>
        <v/>
      </c>
      <c r="I54" s="56">
        <f>Inputs!$E$33+MAX(0,MIN(B54,Inputs!$E$35)-MAX(0,C54))*Inputs!$E$36+MAX(0,MIN(B54,Inputs!$E$37)-MAX(Inputs!$E$35,C54))*Inputs!$E$38+MAX(0,MIN(B54,Inputs!$E$39)-MAX(Inputs!$E$37,C54))*Inputs!$E$40+MAX(0,B54-MAX(Inputs!$E$39,C54))*Inputs!$E$41</f>
        <v/>
      </c>
      <c r="J54" s="57">
        <f>(B54*(Inputs!$E$16-Inputs!$E$20/10000)+I54)/B54</f>
        <v/>
      </c>
      <c r="K54" s="56">
        <f>B54*Inputs!$E$20/10000+(B54/Inputs!$E$22*Inputs!$E$23+B54*Inputs!$E$25)*(Inputs!$E$13-Inputs!$E$14*J54)+Inputs!$E$27*Inputs!$E$28*Inputs!$E$29*(1+Inputs!$E$30*Inputs!$E$31/12)/Inputs!$E$31</f>
        <v/>
      </c>
      <c r="L54" s="58">
        <f>K54-I54</f>
        <v/>
      </c>
      <c r="M54" s="59">
        <f>IF(L54&gt;=0,1,0)</f>
        <v/>
      </c>
      <c r="N54" s="56">
        <f>Inputs!$E$33+MAX(0,MIN(B54,Inputs!$E$35)-MAX(0,C54))*Inputs!$E$36+MAX(0,MIN(B54,Inputs!$E$37)-MAX(Inputs!$E$35,C54))*Inputs!$E$38+MAX(0,MIN(B54,Inputs!$E$39)-MAX(Inputs!$E$37,C54))*Inputs!$E$40+MAX(0,B54-MAX(Inputs!$E$39,C54))*Inputs!$E$41</f>
        <v/>
      </c>
      <c r="O54" s="57">
        <f>(B54*(Inputs!$F$16-Inputs!$F$20/10000)+N54)/B54</f>
        <v/>
      </c>
      <c r="P54" s="56">
        <f>B54*Inputs!$F$20/10000+(B54/Inputs!$F$22*Inputs!$F$23+B54*Inputs!$F$25)*(Inputs!$F$13-Inputs!$F$14*O54)+Inputs!$F$27*Inputs!$F$28*Inputs!$F$29*(1+Inputs!$F$30*Inputs!$F$31/12)/Inputs!$F$31</f>
        <v/>
      </c>
      <c r="Q54" s="58">
        <f>P54-N54</f>
        <v/>
      </c>
      <c r="R54" s="59">
        <f>IF(Q54&gt;=0,1,0)</f>
        <v/>
      </c>
    </row>
    <row r="55">
      <c r="A55" s="60">
        <f>A54+5000</f>
        <v/>
      </c>
      <c r="B55" s="56">
        <f>A55*Inputs!$E$6</f>
        <v/>
      </c>
      <c r="C55" s="56">
        <f>MIN(B55,Inputs!$E$34)</f>
        <v/>
      </c>
      <c r="D55" s="56">
        <f>Inputs!$E$33+MAX(0,MIN(B55,Inputs!$E$35)-MAX(0,C55))*Inputs!$E$36+MAX(0,MIN(B55,Inputs!$E$37)-MAX(Inputs!$E$35,C55))*Inputs!$E$38+MAX(0,MIN(B55,Inputs!$E$39)-MAX(Inputs!$E$37,C55))*Inputs!$E$40+MAX(0,B55-MAX(Inputs!$E$39,C55))*Inputs!$E$41</f>
        <v/>
      </c>
      <c r="E55" s="57">
        <f>(B55*(Inputs!$D$16-Inputs!$D$20/10000)+D55)/B55</f>
        <v/>
      </c>
      <c r="F55" s="56">
        <f>B55*Inputs!$D$20/10000+(B55/Inputs!$D$22*Inputs!$D$23+B55*Inputs!$D$25)*(Inputs!$D$13-Inputs!$D$14*E55)+Inputs!$D$27*Inputs!$D$28*Inputs!$D$29*(1+Inputs!$D$30*Inputs!$D$31/12)/Inputs!$D$31</f>
        <v/>
      </c>
      <c r="G55" s="58">
        <f>F55-D55</f>
        <v/>
      </c>
      <c r="H55" s="59">
        <f>IF(G55&gt;=0,1,0)</f>
        <v/>
      </c>
      <c r="I55" s="56">
        <f>Inputs!$E$33+MAX(0,MIN(B55,Inputs!$E$35)-MAX(0,C55))*Inputs!$E$36+MAX(0,MIN(B55,Inputs!$E$37)-MAX(Inputs!$E$35,C55))*Inputs!$E$38+MAX(0,MIN(B55,Inputs!$E$39)-MAX(Inputs!$E$37,C55))*Inputs!$E$40+MAX(0,B55-MAX(Inputs!$E$39,C55))*Inputs!$E$41</f>
        <v/>
      </c>
      <c r="J55" s="57">
        <f>(B55*(Inputs!$E$16-Inputs!$E$20/10000)+I55)/B55</f>
        <v/>
      </c>
      <c r="K55" s="56">
        <f>B55*Inputs!$E$20/10000+(B55/Inputs!$E$22*Inputs!$E$23+B55*Inputs!$E$25)*(Inputs!$E$13-Inputs!$E$14*J55)+Inputs!$E$27*Inputs!$E$28*Inputs!$E$29*(1+Inputs!$E$30*Inputs!$E$31/12)/Inputs!$E$31</f>
        <v/>
      </c>
      <c r="L55" s="58">
        <f>K55-I55</f>
        <v/>
      </c>
      <c r="M55" s="59">
        <f>IF(L55&gt;=0,1,0)</f>
        <v/>
      </c>
      <c r="N55" s="56">
        <f>Inputs!$E$33+MAX(0,MIN(B55,Inputs!$E$35)-MAX(0,C55))*Inputs!$E$36+MAX(0,MIN(B55,Inputs!$E$37)-MAX(Inputs!$E$35,C55))*Inputs!$E$38+MAX(0,MIN(B55,Inputs!$E$39)-MAX(Inputs!$E$37,C55))*Inputs!$E$40+MAX(0,B55-MAX(Inputs!$E$39,C55))*Inputs!$E$41</f>
        <v/>
      </c>
      <c r="O55" s="57">
        <f>(B55*(Inputs!$F$16-Inputs!$F$20/10000)+N55)/B55</f>
        <v/>
      </c>
      <c r="P55" s="56">
        <f>B55*Inputs!$F$20/10000+(B55/Inputs!$F$22*Inputs!$F$23+B55*Inputs!$F$25)*(Inputs!$F$13-Inputs!$F$14*O55)+Inputs!$F$27*Inputs!$F$28*Inputs!$F$29*(1+Inputs!$F$30*Inputs!$F$31/12)/Inputs!$F$31</f>
        <v/>
      </c>
      <c r="Q55" s="58">
        <f>P55-N55</f>
        <v/>
      </c>
      <c r="R55" s="59">
        <f>IF(Q55&gt;=0,1,0)</f>
        <v/>
      </c>
    </row>
    <row r="56">
      <c r="A56" s="60">
        <f>A55+5000</f>
        <v/>
      </c>
      <c r="B56" s="56">
        <f>A56*Inputs!$E$6</f>
        <v/>
      </c>
      <c r="C56" s="56">
        <f>MIN(B56,Inputs!$E$34)</f>
        <v/>
      </c>
      <c r="D56" s="56">
        <f>Inputs!$E$33+MAX(0,MIN(B56,Inputs!$E$35)-MAX(0,C56))*Inputs!$E$36+MAX(0,MIN(B56,Inputs!$E$37)-MAX(Inputs!$E$35,C56))*Inputs!$E$38+MAX(0,MIN(B56,Inputs!$E$39)-MAX(Inputs!$E$37,C56))*Inputs!$E$40+MAX(0,B56-MAX(Inputs!$E$39,C56))*Inputs!$E$41</f>
        <v/>
      </c>
      <c r="E56" s="57">
        <f>(B56*(Inputs!$D$16-Inputs!$D$20/10000)+D56)/B56</f>
        <v/>
      </c>
      <c r="F56" s="56">
        <f>B56*Inputs!$D$20/10000+(B56/Inputs!$D$22*Inputs!$D$23+B56*Inputs!$D$25)*(Inputs!$D$13-Inputs!$D$14*E56)+Inputs!$D$27*Inputs!$D$28*Inputs!$D$29*(1+Inputs!$D$30*Inputs!$D$31/12)/Inputs!$D$31</f>
        <v/>
      </c>
      <c r="G56" s="58">
        <f>F56-D56</f>
        <v/>
      </c>
      <c r="H56" s="59">
        <f>IF(G56&gt;=0,1,0)</f>
        <v/>
      </c>
      <c r="I56" s="56">
        <f>Inputs!$E$33+MAX(0,MIN(B56,Inputs!$E$35)-MAX(0,C56))*Inputs!$E$36+MAX(0,MIN(B56,Inputs!$E$37)-MAX(Inputs!$E$35,C56))*Inputs!$E$38+MAX(0,MIN(B56,Inputs!$E$39)-MAX(Inputs!$E$37,C56))*Inputs!$E$40+MAX(0,B56-MAX(Inputs!$E$39,C56))*Inputs!$E$41</f>
        <v/>
      </c>
      <c r="J56" s="57">
        <f>(B56*(Inputs!$E$16-Inputs!$E$20/10000)+I56)/B56</f>
        <v/>
      </c>
      <c r="K56" s="56">
        <f>B56*Inputs!$E$20/10000+(B56/Inputs!$E$22*Inputs!$E$23+B56*Inputs!$E$25)*(Inputs!$E$13-Inputs!$E$14*J56)+Inputs!$E$27*Inputs!$E$28*Inputs!$E$29*(1+Inputs!$E$30*Inputs!$E$31/12)/Inputs!$E$31</f>
        <v/>
      </c>
      <c r="L56" s="58">
        <f>K56-I56</f>
        <v/>
      </c>
      <c r="M56" s="59">
        <f>IF(L56&gt;=0,1,0)</f>
        <v/>
      </c>
      <c r="N56" s="56">
        <f>Inputs!$E$33+MAX(0,MIN(B56,Inputs!$E$35)-MAX(0,C56))*Inputs!$E$36+MAX(0,MIN(B56,Inputs!$E$37)-MAX(Inputs!$E$35,C56))*Inputs!$E$38+MAX(0,MIN(B56,Inputs!$E$39)-MAX(Inputs!$E$37,C56))*Inputs!$E$40+MAX(0,B56-MAX(Inputs!$E$39,C56))*Inputs!$E$41</f>
        <v/>
      </c>
      <c r="O56" s="57">
        <f>(B56*(Inputs!$F$16-Inputs!$F$20/10000)+N56)/B56</f>
        <v/>
      </c>
      <c r="P56" s="56">
        <f>B56*Inputs!$F$20/10000+(B56/Inputs!$F$22*Inputs!$F$23+B56*Inputs!$F$25)*(Inputs!$F$13-Inputs!$F$14*O56)+Inputs!$F$27*Inputs!$F$28*Inputs!$F$29*(1+Inputs!$F$30*Inputs!$F$31/12)/Inputs!$F$31</f>
        <v/>
      </c>
      <c r="Q56" s="58">
        <f>P56-N56</f>
        <v/>
      </c>
      <c r="R56" s="59">
        <f>IF(Q56&gt;=0,1,0)</f>
        <v/>
      </c>
    </row>
    <row r="57">
      <c r="A57" s="60">
        <f>A56+5000</f>
        <v/>
      </c>
      <c r="B57" s="56">
        <f>A57*Inputs!$E$6</f>
        <v/>
      </c>
      <c r="C57" s="56">
        <f>MIN(B57,Inputs!$E$34)</f>
        <v/>
      </c>
      <c r="D57" s="56">
        <f>Inputs!$E$33+MAX(0,MIN(B57,Inputs!$E$35)-MAX(0,C57))*Inputs!$E$36+MAX(0,MIN(B57,Inputs!$E$37)-MAX(Inputs!$E$35,C57))*Inputs!$E$38+MAX(0,MIN(B57,Inputs!$E$39)-MAX(Inputs!$E$37,C57))*Inputs!$E$40+MAX(0,B57-MAX(Inputs!$E$39,C57))*Inputs!$E$41</f>
        <v/>
      </c>
      <c r="E57" s="57">
        <f>(B57*(Inputs!$D$16-Inputs!$D$20/10000)+D57)/B57</f>
        <v/>
      </c>
      <c r="F57" s="56">
        <f>B57*Inputs!$D$20/10000+(B57/Inputs!$D$22*Inputs!$D$23+B57*Inputs!$D$25)*(Inputs!$D$13-Inputs!$D$14*E57)+Inputs!$D$27*Inputs!$D$28*Inputs!$D$29*(1+Inputs!$D$30*Inputs!$D$31/12)/Inputs!$D$31</f>
        <v/>
      </c>
      <c r="G57" s="58">
        <f>F57-D57</f>
        <v/>
      </c>
      <c r="H57" s="59">
        <f>IF(G57&gt;=0,1,0)</f>
        <v/>
      </c>
      <c r="I57" s="56">
        <f>Inputs!$E$33+MAX(0,MIN(B57,Inputs!$E$35)-MAX(0,C57))*Inputs!$E$36+MAX(0,MIN(B57,Inputs!$E$37)-MAX(Inputs!$E$35,C57))*Inputs!$E$38+MAX(0,MIN(B57,Inputs!$E$39)-MAX(Inputs!$E$37,C57))*Inputs!$E$40+MAX(0,B57-MAX(Inputs!$E$39,C57))*Inputs!$E$41</f>
        <v/>
      </c>
      <c r="J57" s="57">
        <f>(B57*(Inputs!$E$16-Inputs!$E$20/10000)+I57)/B57</f>
        <v/>
      </c>
      <c r="K57" s="56">
        <f>B57*Inputs!$E$20/10000+(B57/Inputs!$E$22*Inputs!$E$23+B57*Inputs!$E$25)*(Inputs!$E$13-Inputs!$E$14*J57)+Inputs!$E$27*Inputs!$E$28*Inputs!$E$29*(1+Inputs!$E$30*Inputs!$E$31/12)/Inputs!$E$31</f>
        <v/>
      </c>
      <c r="L57" s="58">
        <f>K57-I57</f>
        <v/>
      </c>
      <c r="M57" s="59">
        <f>IF(L57&gt;=0,1,0)</f>
        <v/>
      </c>
      <c r="N57" s="56">
        <f>Inputs!$E$33+MAX(0,MIN(B57,Inputs!$E$35)-MAX(0,C57))*Inputs!$E$36+MAX(0,MIN(B57,Inputs!$E$37)-MAX(Inputs!$E$35,C57))*Inputs!$E$38+MAX(0,MIN(B57,Inputs!$E$39)-MAX(Inputs!$E$37,C57))*Inputs!$E$40+MAX(0,B57-MAX(Inputs!$E$39,C57))*Inputs!$E$41</f>
        <v/>
      </c>
      <c r="O57" s="57">
        <f>(B57*(Inputs!$F$16-Inputs!$F$20/10000)+N57)/B57</f>
        <v/>
      </c>
      <c r="P57" s="56">
        <f>B57*Inputs!$F$20/10000+(B57/Inputs!$F$22*Inputs!$F$23+B57*Inputs!$F$25)*(Inputs!$F$13-Inputs!$F$14*O57)+Inputs!$F$27*Inputs!$F$28*Inputs!$F$29*(1+Inputs!$F$30*Inputs!$F$31/12)/Inputs!$F$31</f>
        <v/>
      </c>
      <c r="Q57" s="58">
        <f>P57-N57</f>
        <v/>
      </c>
      <c r="R57" s="59">
        <f>IF(Q57&gt;=0,1,0)</f>
        <v/>
      </c>
    </row>
    <row r="58">
      <c r="A58" s="60">
        <f>A57+5000</f>
        <v/>
      </c>
      <c r="B58" s="56">
        <f>A58*Inputs!$E$6</f>
        <v/>
      </c>
      <c r="C58" s="56">
        <f>MIN(B58,Inputs!$E$34)</f>
        <v/>
      </c>
      <c r="D58" s="56">
        <f>Inputs!$E$33+MAX(0,MIN(B58,Inputs!$E$35)-MAX(0,C58))*Inputs!$E$36+MAX(0,MIN(B58,Inputs!$E$37)-MAX(Inputs!$E$35,C58))*Inputs!$E$38+MAX(0,MIN(B58,Inputs!$E$39)-MAX(Inputs!$E$37,C58))*Inputs!$E$40+MAX(0,B58-MAX(Inputs!$E$39,C58))*Inputs!$E$41</f>
        <v/>
      </c>
      <c r="E58" s="57">
        <f>(B58*(Inputs!$D$16-Inputs!$D$20/10000)+D58)/B58</f>
        <v/>
      </c>
      <c r="F58" s="56">
        <f>B58*Inputs!$D$20/10000+(B58/Inputs!$D$22*Inputs!$D$23+B58*Inputs!$D$25)*(Inputs!$D$13-Inputs!$D$14*E58)+Inputs!$D$27*Inputs!$D$28*Inputs!$D$29*(1+Inputs!$D$30*Inputs!$D$31/12)/Inputs!$D$31</f>
        <v/>
      </c>
      <c r="G58" s="58">
        <f>F58-D58</f>
        <v/>
      </c>
      <c r="H58" s="59">
        <f>IF(G58&gt;=0,1,0)</f>
        <v/>
      </c>
      <c r="I58" s="56">
        <f>Inputs!$E$33+MAX(0,MIN(B58,Inputs!$E$35)-MAX(0,C58))*Inputs!$E$36+MAX(0,MIN(B58,Inputs!$E$37)-MAX(Inputs!$E$35,C58))*Inputs!$E$38+MAX(0,MIN(B58,Inputs!$E$39)-MAX(Inputs!$E$37,C58))*Inputs!$E$40+MAX(0,B58-MAX(Inputs!$E$39,C58))*Inputs!$E$41</f>
        <v/>
      </c>
      <c r="J58" s="57">
        <f>(B58*(Inputs!$E$16-Inputs!$E$20/10000)+I58)/B58</f>
        <v/>
      </c>
      <c r="K58" s="56">
        <f>B58*Inputs!$E$20/10000+(B58/Inputs!$E$22*Inputs!$E$23+B58*Inputs!$E$25)*(Inputs!$E$13-Inputs!$E$14*J58)+Inputs!$E$27*Inputs!$E$28*Inputs!$E$29*(1+Inputs!$E$30*Inputs!$E$31/12)/Inputs!$E$31</f>
        <v/>
      </c>
      <c r="L58" s="58">
        <f>K58-I58</f>
        <v/>
      </c>
      <c r="M58" s="59">
        <f>IF(L58&gt;=0,1,0)</f>
        <v/>
      </c>
      <c r="N58" s="56">
        <f>Inputs!$E$33+MAX(0,MIN(B58,Inputs!$E$35)-MAX(0,C58))*Inputs!$E$36+MAX(0,MIN(B58,Inputs!$E$37)-MAX(Inputs!$E$35,C58))*Inputs!$E$38+MAX(0,MIN(B58,Inputs!$E$39)-MAX(Inputs!$E$37,C58))*Inputs!$E$40+MAX(0,B58-MAX(Inputs!$E$39,C58))*Inputs!$E$41</f>
        <v/>
      </c>
      <c r="O58" s="57">
        <f>(B58*(Inputs!$F$16-Inputs!$F$20/10000)+N58)/B58</f>
        <v/>
      </c>
      <c r="P58" s="56">
        <f>B58*Inputs!$F$20/10000+(B58/Inputs!$F$22*Inputs!$F$23+B58*Inputs!$F$25)*(Inputs!$F$13-Inputs!$F$14*O58)+Inputs!$F$27*Inputs!$F$28*Inputs!$F$29*(1+Inputs!$F$30*Inputs!$F$31/12)/Inputs!$F$31</f>
        <v/>
      </c>
      <c r="Q58" s="58">
        <f>P58-N58</f>
        <v/>
      </c>
      <c r="R58" s="59">
        <f>IF(Q58&gt;=0,1,0)</f>
        <v/>
      </c>
    </row>
    <row r="59">
      <c r="A59" s="60">
        <f>A58+5000</f>
        <v/>
      </c>
      <c r="B59" s="56">
        <f>A59*Inputs!$E$6</f>
        <v/>
      </c>
      <c r="C59" s="56">
        <f>MIN(B59,Inputs!$E$34)</f>
        <v/>
      </c>
      <c r="D59" s="56">
        <f>Inputs!$E$33+MAX(0,MIN(B59,Inputs!$E$35)-MAX(0,C59))*Inputs!$E$36+MAX(0,MIN(B59,Inputs!$E$37)-MAX(Inputs!$E$35,C59))*Inputs!$E$38+MAX(0,MIN(B59,Inputs!$E$39)-MAX(Inputs!$E$37,C59))*Inputs!$E$40+MAX(0,B59-MAX(Inputs!$E$39,C59))*Inputs!$E$41</f>
        <v/>
      </c>
      <c r="E59" s="57">
        <f>(B59*(Inputs!$D$16-Inputs!$D$20/10000)+D59)/B59</f>
        <v/>
      </c>
      <c r="F59" s="56">
        <f>B59*Inputs!$D$20/10000+(B59/Inputs!$D$22*Inputs!$D$23+B59*Inputs!$D$25)*(Inputs!$D$13-Inputs!$D$14*E59)+Inputs!$D$27*Inputs!$D$28*Inputs!$D$29*(1+Inputs!$D$30*Inputs!$D$31/12)/Inputs!$D$31</f>
        <v/>
      </c>
      <c r="G59" s="58">
        <f>F59-D59</f>
        <v/>
      </c>
      <c r="H59" s="59">
        <f>IF(G59&gt;=0,1,0)</f>
        <v/>
      </c>
      <c r="I59" s="56">
        <f>Inputs!$E$33+MAX(0,MIN(B59,Inputs!$E$35)-MAX(0,C59))*Inputs!$E$36+MAX(0,MIN(B59,Inputs!$E$37)-MAX(Inputs!$E$35,C59))*Inputs!$E$38+MAX(0,MIN(B59,Inputs!$E$39)-MAX(Inputs!$E$37,C59))*Inputs!$E$40+MAX(0,B59-MAX(Inputs!$E$39,C59))*Inputs!$E$41</f>
        <v/>
      </c>
      <c r="J59" s="57">
        <f>(B59*(Inputs!$E$16-Inputs!$E$20/10000)+I59)/B59</f>
        <v/>
      </c>
      <c r="K59" s="56">
        <f>B59*Inputs!$E$20/10000+(B59/Inputs!$E$22*Inputs!$E$23+B59*Inputs!$E$25)*(Inputs!$E$13-Inputs!$E$14*J59)+Inputs!$E$27*Inputs!$E$28*Inputs!$E$29*(1+Inputs!$E$30*Inputs!$E$31/12)/Inputs!$E$31</f>
        <v/>
      </c>
      <c r="L59" s="58">
        <f>K59-I59</f>
        <v/>
      </c>
      <c r="M59" s="59">
        <f>IF(L59&gt;=0,1,0)</f>
        <v/>
      </c>
      <c r="N59" s="56">
        <f>Inputs!$E$33+MAX(0,MIN(B59,Inputs!$E$35)-MAX(0,C59))*Inputs!$E$36+MAX(0,MIN(B59,Inputs!$E$37)-MAX(Inputs!$E$35,C59))*Inputs!$E$38+MAX(0,MIN(B59,Inputs!$E$39)-MAX(Inputs!$E$37,C59))*Inputs!$E$40+MAX(0,B59-MAX(Inputs!$E$39,C59))*Inputs!$E$41</f>
        <v/>
      </c>
      <c r="O59" s="57">
        <f>(B59*(Inputs!$F$16-Inputs!$F$20/10000)+N59)/B59</f>
        <v/>
      </c>
      <c r="P59" s="56">
        <f>B59*Inputs!$F$20/10000+(B59/Inputs!$F$22*Inputs!$F$23+B59*Inputs!$F$25)*(Inputs!$F$13-Inputs!$F$14*O59)+Inputs!$F$27*Inputs!$F$28*Inputs!$F$29*(1+Inputs!$F$30*Inputs!$F$31/12)/Inputs!$F$31</f>
        <v/>
      </c>
      <c r="Q59" s="58">
        <f>P59-N59</f>
        <v/>
      </c>
      <c r="R59" s="59">
        <f>IF(Q59&gt;=0,1,0)</f>
        <v/>
      </c>
    </row>
    <row r="60">
      <c r="A60" s="60">
        <f>A59+5000</f>
        <v/>
      </c>
      <c r="B60" s="56">
        <f>A60*Inputs!$E$6</f>
        <v/>
      </c>
      <c r="C60" s="56">
        <f>MIN(B60,Inputs!$E$34)</f>
        <v/>
      </c>
      <c r="D60" s="56">
        <f>Inputs!$E$33+MAX(0,MIN(B60,Inputs!$E$35)-MAX(0,C60))*Inputs!$E$36+MAX(0,MIN(B60,Inputs!$E$37)-MAX(Inputs!$E$35,C60))*Inputs!$E$38+MAX(0,MIN(B60,Inputs!$E$39)-MAX(Inputs!$E$37,C60))*Inputs!$E$40+MAX(0,B60-MAX(Inputs!$E$39,C60))*Inputs!$E$41</f>
        <v/>
      </c>
      <c r="E60" s="57">
        <f>(B60*(Inputs!$D$16-Inputs!$D$20/10000)+D60)/B60</f>
        <v/>
      </c>
      <c r="F60" s="56">
        <f>B60*Inputs!$D$20/10000+(B60/Inputs!$D$22*Inputs!$D$23+B60*Inputs!$D$25)*(Inputs!$D$13-Inputs!$D$14*E60)+Inputs!$D$27*Inputs!$D$28*Inputs!$D$29*(1+Inputs!$D$30*Inputs!$D$31/12)/Inputs!$D$31</f>
        <v/>
      </c>
      <c r="G60" s="58">
        <f>F60-D60</f>
        <v/>
      </c>
      <c r="H60" s="59">
        <f>IF(G60&gt;=0,1,0)</f>
        <v/>
      </c>
      <c r="I60" s="56">
        <f>Inputs!$E$33+MAX(0,MIN(B60,Inputs!$E$35)-MAX(0,C60))*Inputs!$E$36+MAX(0,MIN(B60,Inputs!$E$37)-MAX(Inputs!$E$35,C60))*Inputs!$E$38+MAX(0,MIN(B60,Inputs!$E$39)-MAX(Inputs!$E$37,C60))*Inputs!$E$40+MAX(0,B60-MAX(Inputs!$E$39,C60))*Inputs!$E$41</f>
        <v/>
      </c>
      <c r="J60" s="57">
        <f>(B60*(Inputs!$E$16-Inputs!$E$20/10000)+I60)/B60</f>
        <v/>
      </c>
      <c r="K60" s="56">
        <f>B60*Inputs!$E$20/10000+(B60/Inputs!$E$22*Inputs!$E$23+B60*Inputs!$E$25)*(Inputs!$E$13-Inputs!$E$14*J60)+Inputs!$E$27*Inputs!$E$28*Inputs!$E$29*(1+Inputs!$E$30*Inputs!$E$31/12)/Inputs!$E$31</f>
        <v/>
      </c>
      <c r="L60" s="58">
        <f>K60-I60</f>
        <v/>
      </c>
      <c r="M60" s="59">
        <f>IF(L60&gt;=0,1,0)</f>
        <v/>
      </c>
      <c r="N60" s="56">
        <f>Inputs!$E$33+MAX(0,MIN(B60,Inputs!$E$35)-MAX(0,C60))*Inputs!$E$36+MAX(0,MIN(B60,Inputs!$E$37)-MAX(Inputs!$E$35,C60))*Inputs!$E$38+MAX(0,MIN(B60,Inputs!$E$39)-MAX(Inputs!$E$37,C60))*Inputs!$E$40+MAX(0,B60-MAX(Inputs!$E$39,C60))*Inputs!$E$41</f>
        <v/>
      </c>
      <c r="O60" s="57">
        <f>(B60*(Inputs!$F$16-Inputs!$F$20/10000)+N60)/B60</f>
        <v/>
      </c>
      <c r="P60" s="56">
        <f>B60*Inputs!$F$20/10000+(B60/Inputs!$F$22*Inputs!$F$23+B60*Inputs!$F$25)*(Inputs!$F$13-Inputs!$F$14*O60)+Inputs!$F$27*Inputs!$F$28*Inputs!$F$29*(1+Inputs!$F$30*Inputs!$F$31/12)/Inputs!$F$31</f>
        <v/>
      </c>
      <c r="Q60" s="58">
        <f>P60-N60</f>
        <v/>
      </c>
      <c r="R60" s="59">
        <f>IF(Q60&gt;=0,1,0)</f>
        <v/>
      </c>
    </row>
    <row r="61">
      <c r="A61" s="60">
        <f>A60+5000</f>
        <v/>
      </c>
      <c r="B61" s="56">
        <f>A61*Inputs!$E$6</f>
        <v/>
      </c>
      <c r="C61" s="56">
        <f>MIN(B61,Inputs!$E$34)</f>
        <v/>
      </c>
      <c r="D61" s="56">
        <f>Inputs!$E$33+MAX(0,MIN(B61,Inputs!$E$35)-MAX(0,C61))*Inputs!$E$36+MAX(0,MIN(B61,Inputs!$E$37)-MAX(Inputs!$E$35,C61))*Inputs!$E$38+MAX(0,MIN(B61,Inputs!$E$39)-MAX(Inputs!$E$37,C61))*Inputs!$E$40+MAX(0,B61-MAX(Inputs!$E$39,C61))*Inputs!$E$41</f>
        <v/>
      </c>
      <c r="E61" s="57">
        <f>(B61*(Inputs!$D$16-Inputs!$D$20/10000)+D61)/B61</f>
        <v/>
      </c>
      <c r="F61" s="56">
        <f>B61*Inputs!$D$20/10000+(B61/Inputs!$D$22*Inputs!$D$23+B61*Inputs!$D$25)*(Inputs!$D$13-Inputs!$D$14*E61)+Inputs!$D$27*Inputs!$D$28*Inputs!$D$29*(1+Inputs!$D$30*Inputs!$D$31/12)/Inputs!$D$31</f>
        <v/>
      </c>
      <c r="G61" s="58">
        <f>F61-D61</f>
        <v/>
      </c>
      <c r="H61" s="59">
        <f>IF(G61&gt;=0,1,0)</f>
        <v/>
      </c>
      <c r="I61" s="56">
        <f>Inputs!$E$33+MAX(0,MIN(B61,Inputs!$E$35)-MAX(0,C61))*Inputs!$E$36+MAX(0,MIN(B61,Inputs!$E$37)-MAX(Inputs!$E$35,C61))*Inputs!$E$38+MAX(0,MIN(B61,Inputs!$E$39)-MAX(Inputs!$E$37,C61))*Inputs!$E$40+MAX(0,B61-MAX(Inputs!$E$39,C61))*Inputs!$E$41</f>
        <v/>
      </c>
      <c r="J61" s="57">
        <f>(B61*(Inputs!$E$16-Inputs!$E$20/10000)+I61)/B61</f>
        <v/>
      </c>
      <c r="K61" s="56">
        <f>B61*Inputs!$E$20/10000+(B61/Inputs!$E$22*Inputs!$E$23+B61*Inputs!$E$25)*(Inputs!$E$13-Inputs!$E$14*J61)+Inputs!$E$27*Inputs!$E$28*Inputs!$E$29*(1+Inputs!$E$30*Inputs!$E$31/12)/Inputs!$E$31</f>
        <v/>
      </c>
      <c r="L61" s="58">
        <f>K61-I61</f>
        <v/>
      </c>
      <c r="M61" s="59">
        <f>IF(L61&gt;=0,1,0)</f>
        <v/>
      </c>
      <c r="N61" s="56">
        <f>Inputs!$E$33+MAX(0,MIN(B61,Inputs!$E$35)-MAX(0,C61))*Inputs!$E$36+MAX(0,MIN(B61,Inputs!$E$37)-MAX(Inputs!$E$35,C61))*Inputs!$E$38+MAX(0,MIN(B61,Inputs!$E$39)-MAX(Inputs!$E$37,C61))*Inputs!$E$40+MAX(0,B61-MAX(Inputs!$E$39,C61))*Inputs!$E$41</f>
        <v/>
      </c>
      <c r="O61" s="57">
        <f>(B61*(Inputs!$F$16-Inputs!$F$20/10000)+N61)/B61</f>
        <v/>
      </c>
      <c r="P61" s="56">
        <f>B61*Inputs!$F$20/10000+(B61/Inputs!$F$22*Inputs!$F$23+B61*Inputs!$F$25)*(Inputs!$F$13-Inputs!$F$14*O61)+Inputs!$F$27*Inputs!$F$28*Inputs!$F$29*(1+Inputs!$F$30*Inputs!$F$31/12)/Inputs!$F$31</f>
        <v/>
      </c>
      <c r="Q61" s="58">
        <f>P61-N61</f>
        <v/>
      </c>
      <c r="R61" s="59">
        <f>IF(Q61&gt;=0,1,0)</f>
        <v/>
      </c>
    </row>
    <row r="62">
      <c r="A62" s="60">
        <f>A61+5000</f>
        <v/>
      </c>
      <c r="B62" s="56">
        <f>A62*Inputs!$E$6</f>
        <v/>
      </c>
      <c r="C62" s="56">
        <f>MIN(B62,Inputs!$E$34)</f>
        <v/>
      </c>
      <c r="D62" s="56">
        <f>Inputs!$E$33+MAX(0,MIN(B62,Inputs!$E$35)-MAX(0,C62))*Inputs!$E$36+MAX(0,MIN(B62,Inputs!$E$37)-MAX(Inputs!$E$35,C62))*Inputs!$E$38+MAX(0,MIN(B62,Inputs!$E$39)-MAX(Inputs!$E$37,C62))*Inputs!$E$40+MAX(0,B62-MAX(Inputs!$E$39,C62))*Inputs!$E$41</f>
        <v/>
      </c>
      <c r="E62" s="57">
        <f>(B62*(Inputs!$D$16-Inputs!$D$20/10000)+D62)/B62</f>
        <v/>
      </c>
      <c r="F62" s="56">
        <f>B62*Inputs!$D$20/10000+(B62/Inputs!$D$22*Inputs!$D$23+B62*Inputs!$D$25)*(Inputs!$D$13-Inputs!$D$14*E62)+Inputs!$D$27*Inputs!$D$28*Inputs!$D$29*(1+Inputs!$D$30*Inputs!$D$31/12)/Inputs!$D$31</f>
        <v/>
      </c>
      <c r="G62" s="58">
        <f>F62-D62</f>
        <v/>
      </c>
      <c r="H62" s="59">
        <f>IF(G62&gt;=0,1,0)</f>
        <v/>
      </c>
      <c r="I62" s="56">
        <f>Inputs!$E$33+MAX(0,MIN(B62,Inputs!$E$35)-MAX(0,C62))*Inputs!$E$36+MAX(0,MIN(B62,Inputs!$E$37)-MAX(Inputs!$E$35,C62))*Inputs!$E$38+MAX(0,MIN(B62,Inputs!$E$39)-MAX(Inputs!$E$37,C62))*Inputs!$E$40+MAX(0,B62-MAX(Inputs!$E$39,C62))*Inputs!$E$41</f>
        <v/>
      </c>
      <c r="J62" s="57">
        <f>(B62*(Inputs!$E$16-Inputs!$E$20/10000)+I62)/B62</f>
        <v/>
      </c>
      <c r="K62" s="56">
        <f>B62*Inputs!$E$20/10000+(B62/Inputs!$E$22*Inputs!$E$23+B62*Inputs!$E$25)*(Inputs!$E$13-Inputs!$E$14*J62)+Inputs!$E$27*Inputs!$E$28*Inputs!$E$29*(1+Inputs!$E$30*Inputs!$E$31/12)/Inputs!$E$31</f>
        <v/>
      </c>
      <c r="L62" s="58">
        <f>K62-I62</f>
        <v/>
      </c>
      <c r="M62" s="59">
        <f>IF(L62&gt;=0,1,0)</f>
        <v/>
      </c>
      <c r="N62" s="56">
        <f>Inputs!$E$33+MAX(0,MIN(B62,Inputs!$E$35)-MAX(0,C62))*Inputs!$E$36+MAX(0,MIN(B62,Inputs!$E$37)-MAX(Inputs!$E$35,C62))*Inputs!$E$38+MAX(0,MIN(B62,Inputs!$E$39)-MAX(Inputs!$E$37,C62))*Inputs!$E$40+MAX(0,B62-MAX(Inputs!$E$39,C62))*Inputs!$E$41</f>
        <v/>
      </c>
      <c r="O62" s="57">
        <f>(B62*(Inputs!$F$16-Inputs!$F$20/10000)+N62)/B62</f>
        <v/>
      </c>
      <c r="P62" s="56">
        <f>B62*Inputs!$F$20/10000+(B62/Inputs!$F$22*Inputs!$F$23+B62*Inputs!$F$25)*(Inputs!$F$13-Inputs!$F$14*O62)+Inputs!$F$27*Inputs!$F$28*Inputs!$F$29*(1+Inputs!$F$30*Inputs!$F$31/12)/Inputs!$F$31</f>
        <v/>
      </c>
      <c r="Q62" s="58">
        <f>P62-N62</f>
        <v/>
      </c>
      <c r="R62" s="59">
        <f>IF(Q62&gt;=0,1,0)</f>
        <v/>
      </c>
    </row>
    <row r="63">
      <c r="A63" s="60">
        <f>A62+5000</f>
        <v/>
      </c>
      <c r="B63" s="56">
        <f>A63*Inputs!$E$6</f>
        <v/>
      </c>
      <c r="C63" s="56">
        <f>MIN(B63,Inputs!$E$34)</f>
        <v/>
      </c>
      <c r="D63" s="56">
        <f>Inputs!$E$33+MAX(0,MIN(B63,Inputs!$E$35)-MAX(0,C63))*Inputs!$E$36+MAX(0,MIN(B63,Inputs!$E$37)-MAX(Inputs!$E$35,C63))*Inputs!$E$38+MAX(0,MIN(B63,Inputs!$E$39)-MAX(Inputs!$E$37,C63))*Inputs!$E$40+MAX(0,B63-MAX(Inputs!$E$39,C63))*Inputs!$E$41</f>
        <v/>
      </c>
      <c r="E63" s="57">
        <f>(B63*(Inputs!$D$16-Inputs!$D$20/10000)+D63)/B63</f>
        <v/>
      </c>
      <c r="F63" s="56">
        <f>B63*Inputs!$D$20/10000+(B63/Inputs!$D$22*Inputs!$D$23+B63*Inputs!$D$25)*(Inputs!$D$13-Inputs!$D$14*E63)+Inputs!$D$27*Inputs!$D$28*Inputs!$D$29*(1+Inputs!$D$30*Inputs!$D$31/12)/Inputs!$D$31</f>
        <v/>
      </c>
      <c r="G63" s="58">
        <f>F63-D63</f>
        <v/>
      </c>
      <c r="H63" s="59">
        <f>IF(G63&gt;=0,1,0)</f>
        <v/>
      </c>
      <c r="I63" s="56">
        <f>Inputs!$E$33+MAX(0,MIN(B63,Inputs!$E$35)-MAX(0,C63))*Inputs!$E$36+MAX(0,MIN(B63,Inputs!$E$37)-MAX(Inputs!$E$35,C63))*Inputs!$E$38+MAX(0,MIN(B63,Inputs!$E$39)-MAX(Inputs!$E$37,C63))*Inputs!$E$40+MAX(0,B63-MAX(Inputs!$E$39,C63))*Inputs!$E$41</f>
        <v/>
      </c>
      <c r="J63" s="57">
        <f>(B63*(Inputs!$E$16-Inputs!$E$20/10000)+I63)/B63</f>
        <v/>
      </c>
      <c r="K63" s="56">
        <f>B63*Inputs!$E$20/10000+(B63/Inputs!$E$22*Inputs!$E$23+B63*Inputs!$E$25)*(Inputs!$E$13-Inputs!$E$14*J63)+Inputs!$E$27*Inputs!$E$28*Inputs!$E$29*(1+Inputs!$E$30*Inputs!$E$31/12)/Inputs!$E$31</f>
        <v/>
      </c>
      <c r="L63" s="58">
        <f>K63-I63</f>
        <v/>
      </c>
      <c r="M63" s="59">
        <f>IF(L63&gt;=0,1,0)</f>
        <v/>
      </c>
      <c r="N63" s="56">
        <f>Inputs!$E$33+MAX(0,MIN(B63,Inputs!$E$35)-MAX(0,C63))*Inputs!$E$36+MAX(0,MIN(B63,Inputs!$E$37)-MAX(Inputs!$E$35,C63))*Inputs!$E$38+MAX(0,MIN(B63,Inputs!$E$39)-MAX(Inputs!$E$37,C63))*Inputs!$E$40+MAX(0,B63-MAX(Inputs!$E$39,C63))*Inputs!$E$41</f>
        <v/>
      </c>
      <c r="O63" s="57">
        <f>(B63*(Inputs!$F$16-Inputs!$F$20/10000)+N63)/B63</f>
        <v/>
      </c>
      <c r="P63" s="56">
        <f>B63*Inputs!$F$20/10000+(B63/Inputs!$F$22*Inputs!$F$23+B63*Inputs!$F$25)*(Inputs!$F$13-Inputs!$F$14*O63)+Inputs!$F$27*Inputs!$F$28*Inputs!$F$29*(1+Inputs!$F$30*Inputs!$F$31/12)/Inputs!$F$31</f>
        <v/>
      </c>
      <c r="Q63" s="58">
        <f>P63-N63</f>
        <v/>
      </c>
      <c r="R63" s="59">
        <f>IF(Q63&gt;=0,1,0)</f>
        <v/>
      </c>
    </row>
    <row r="64">
      <c r="A64" s="60">
        <f>A63+5000</f>
        <v/>
      </c>
      <c r="B64" s="56">
        <f>A64*Inputs!$E$6</f>
        <v/>
      </c>
      <c r="C64" s="56">
        <f>MIN(B64,Inputs!$E$34)</f>
        <v/>
      </c>
      <c r="D64" s="56">
        <f>Inputs!$E$33+MAX(0,MIN(B64,Inputs!$E$35)-MAX(0,C64))*Inputs!$E$36+MAX(0,MIN(B64,Inputs!$E$37)-MAX(Inputs!$E$35,C64))*Inputs!$E$38+MAX(0,MIN(B64,Inputs!$E$39)-MAX(Inputs!$E$37,C64))*Inputs!$E$40+MAX(0,B64-MAX(Inputs!$E$39,C64))*Inputs!$E$41</f>
        <v/>
      </c>
      <c r="E64" s="57">
        <f>(B64*(Inputs!$D$16-Inputs!$D$20/10000)+D64)/B64</f>
        <v/>
      </c>
      <c r="F64" s="56">
        <f>B64*Inputs!$D$20/10000+(B64/Inputs!$D$22*Inputs!$D$23+B64*Inputs!$D$25)*(Inputs!$D$13-Inputs!$D$14*E64)+Inputs!$D$27*Inputs!$D$28*Inputs!$D$29*(1+Inputs!$D$30*Inputs!$D$31/12)/Inputs!$D$31</f>
        <v/>
      </c>
      <c r="G64" s="58">
        <f>F64-D64</f>
        <v/>
      </c>
      <c r="H64" s="59">
        <f>IF(G64&gt;=0,1,0)</f>
        <v/>
      </c>
      <c r="I64" s="56">
        <f>Inputs!$E$33+MAX(0,MIN(B64,Inputs!$E$35)-MAX(0,C64))*Inputs!$E$36+MAX(0,MIN(B64,Inputs!$E$37)-MAX(Inputs!$E$35,C64))*Inputs!$E$38+MAX(0,MIN(B64,Inputs!$E$39)-MAX(Inputs!$E$37,C64))*Inputs!$E$40+MAX(0,B64-MAX(Inputs!$E$39,C64))*Inputs!$E$41</f>
        <v/>
      </c>
      <c r="J64" s="57">
        <f>(B64*(Inputs!$E$16-Inputs!$E$20/10000)+I64)/B64</f>
        <v/>
      </c>
      <c r="K64" s="56">
        <f>B64*Inputs!$E$20/10000+(B64/Inputs!$E$22*Inputs!$E$23+B64*Inputs!$E$25)*(Inputs!$E$13-Inputs!$E$14*J64)+Inputs!$E$27*Inputs!$E$28*Inputs!$E$29*(1+Inputs!$E$30*Inputs!$E$31/12)/Inputs!$E$31</f>
        <v/>
      </c>
      <c r="L64" s="58">
        <f>K64-I64</f>
        <v/>
      </c>
      <c r="M64" s="59">
        <f>IF(L64&gt;=0,1,0)</f>
        <v/>
      </c>
      <c r="N64" s="56">
        <f>Inputs!$E$33+MAX(0,MIN(B64,Inputs!$E$35)-MAX(0,C64))*Inputs!$E$36+MAX(0,MIN(B64,Inputs!$E$37)-MAX(Inputs!$E$35,C64))*Inputs!$E$38+MAX(0,MIN(B64,Inputs!$E$39)-MAX(Inputs!$E$37,C64))*Inputs!$E$40+MAX(0,B64-MAX(Inputs!$E$39,C64))*Inputs!$E$41</f>
        <v/>
      </c>
      <c r="O64" s="57">
        <f>(B64*(Inputs!$F$16-Inputs!$F$20/10000)+N64)/B64</f>
        <v/>
      </c>
      <c r="P64" s="56">
        <f>B64*Inputs!$F$20/10000+(B64/Inputs!$F$22*Inputs!$F$23+B64*Inputs!$F$25)*(Inputs!$F$13-Inputs!$F$14*O64)+Inputs!$F$27*Inputs!$F$28*Inputs!$F$29*(1+Inputs!$F$30*Inputs!$F$31/12)/Inputs!$F$31</f>
        <v/>
      </c>
      <c r="Q64" s="58">
        <f>P64-N64</f>
        <v/>
      </c>
      <c r="R64" s="59">
        <f>IF(Q64&gt;=0,1,0)</f>
        <v/>
      </c>
    </row>
    <row r="65">
      <c r="A65" s="60">
        <f>A64+5000</f>
        <v/>
      </c>
      <c r="B65" s="56">
        <f>A65*Inputs!$E$6</f>
        <v/>
      </c>
      <c r="C65" s="56">
        <f>MIN(B65,Inputs!$E$34)</f>
        <v/>
      </c>
      <c r="D65" s="56">
        <f>Inputs!$E$33+MAX(0,MIN(B65,Inputs!$E$35)-MAX(0,C65))*Inputs!$E$36+MAX(0,MIN(B65,Inputs!$E$37)-MAX(Inputs!$E$35,C65))*Inputs!$E$38+MAX(0,MIN(B65,Inputs!$E$39)-MAX(Inputs!$E$37,C65))*Inputs!$E$40+MAX(0,B65-MAX(Inputs!$E$39,C65))*Inputs!$E$41</f>
        <v/>
      </c>
      <c r="E65" s="57">
        <f>(B65*(Inputs!$D$16-Inputs!$D$20/10000)+D65)/B65</f>
        <v/>
      </c>
      <c r="F65" s="56">
        <f>B65*Inputs!$D$20/10000+(B65/Inputs!$D$22*Inputs!$D$23+B65*Inputs!$D$25)*(Inputs!$D$13-Inputs!$D$14*E65)+Inputs!$D$27*Inputs!$D$28*Inputs!$D$29*(1+Inputs!$D$30*Inputs!$D$31/12)/Inputs!$D$31</f>
        <v/>
      </c>
      <c r="G65" s="58">
        <f>F65-D65</f>
        <v/>
      </c>
      <c r="H65" s="59">
        <f>IF(G65&gt;=0,1,0)</f>
        <v/>
      </c>
      <c r="I65" s="56">
        <f>Inputs!$E$33+MAX(0,MIN(B65,Inputs!$E$35)-MAX(0,C65))*Inputs!$E$36+MAX(0,MIN(B65,Inputs!$E$37)-MAX(Inputs!$E$35,C65))*Inputs!$E$38+MAX(0,MIN(B65,Inputs!$E$39)-MAX(Inputs!$E$37,C65))*Inputs!$E$40+MAX(0,B65-MAX(Inputs!$E$39,C65))*Inputs!$E$41</f>
        <v/>
      </c>
      <c r="J65" s="57">
        <f>(B65*(Inputs!$E$16-Inputs!$E$20/10000)+I65)/B65</f>
        <v/>
      </c>
      <c r="K65" s="56">
        <f>B65*Inputs!$E$20/10000+(B65/Inputs!$E$22*Inputs!$E$23+B65*Inputs!$E$25)*(Inputs!$E$13-Inputs!$E$14*J65)+Inputs!$E$27*Inputs!$E$28*Inputs!$E$29*(1+Inputs!$E$30*Inputs!$E$31/12)/Inputs!$E$31</f>
        <v/>
      </c>
      <c r="L65" s="58">
        <f>K65-I65</f>
        <v/>
      </c>
      <c r="M65" s="59">
        <f>IF(L65&gt;=0,1,0)</f>
        <v/>
      </c>
      <c r="N65" s="56">
        <f>Inputs!$E$33+MAX(0,MIN(B65,Inputs!$E$35)-MAX(0,C65))*Inputs!$E$36+MAX(0,MIN(B65,Inputs!$E$37)-MAX(Inputs!$E$35,C65))*Inputs!$E$38+MAX(0,MIN(B65,Inputs!$E$39)-MAX(Inputs!$E$37,C65))*Inputs!$E$40+MAX(0,B65-MAX(Inputs!$E$39,C65))*Inputs!$E$41</f>
        <v/>
      </c>
      <c r="O65" s="57">
        <f>(B65*(Inputs!$F$16-Inputs!$F$20/10000)+N65)/B65</f>
        <v/>
      </c>
      <c r="P65" s="56">
        <f>B65*Inputs!$F$20/10000+(B65/Inputs!$F$22*Inputs!$F$23+B65*Inputs!$F$25)*(Inputs!$F$13-Inputs!$F$14*O65)+Inputs!$F$27*Inputs!$F$28*Inputs!$F$29*(1+Inputs!$F$30*Inputs!$F$31/12)/Inputs!$F$31</f>
        <v/>
      </c>
      <c r="Q65" s="58">
        <f>P65-N65</f>
        <v/>
      </c>
      <c r="R65" s="59">
        <f>IF(Q65&gt;=0,1,0)</f>
        <v/>
      </c>
    </row>
    <row r="66">
      <c r="A66" s="60">
        <f>A65+5000</f>
        <v/>
      </c>
      <c r="B66" s="56">
        <f>A66*Inputs!$E$6</f>
        <v/>
      </c>
      <c r="C66" s="56">
        <f>MIN(B66,Inputs!$E$34)</f>
        <v/>
      </c>
      <c r="D66" s="56">
        <f>Inputs!$E$33+MAX(0,MIN(B66,Inputs!$E$35)-MAX(0,C66))*Inputs!$E$36+MAX(0,MIN(B66,Inputs!$E$37)-MAX(Inputs!$E$35,C66))*Inputs!$E$38+MAX(0,MIN(B66,Inputs!$E$39)-MAX(Inputs!$E$37,C66))*Inputs!$E$40+MAX(0,B66-MAX(Inputs!$E$39,C66))*Inputs!$E$41</f>
        <v/>
      </c>
      <c r="E66" s="57">
        <f>(B66*(Inputs!$D$16-Inputs!$D$20/10000)+D66)/B66</f>
        <v/>
      </c>
      <c r="F66" s="56">
        <f>B66*Inputs!$D$20/10000+(B66/Inputs!$D$22*Inputs!$D$23+B66*Inputs!$D$25)*(Inputs!$D$13-Inputs!$D$14*E66)+Inputs!$D$27*Inputs!$D$28*Inputs!$D$29*(1+Inputs!$D$30*Inputs!$D$31/12)/Inputs!$D$31</f>
        <v/>
      </c>
      <c r="G66" s="58">
        <f>F66-D66</f>
        <v/>
      </c>
      <c r="H66" s="59">
        <f>IF(G66&gt;=0,1,0)</f>
        <v/>
      </c>
      <c r="I66" s="56">
        <f>Inputs!$E$33+MAX(0,MIN(B66,Inputs!$E$35)-MAX(0,C66))*Inputs!$E$36+MAX(0,MIN(B66,Inputs!$E$37)-MAX(Inputs!$E$35,C66))*Inputs!$E$38+MAX(0,MIN(B66,Inputs!$E$39)-MAX(Inputs!$E$37,C66))*Inputs!$E$40+MAX(0,B66-MAX(Inputs!$E$39,C66))*Inputs!$E$41</f>
        <v/>
      </c>
      <c r="J66" s="57">
        <f>(B66*(Inputs!$E$16-Inputs!$E$20/10000)+I66)/B66</f>
        <v/>
      </c>
      <c r="K66" s="56">
        <f>B66*Inputs!$E$20/10000+(B66/Inputs!$E$22*Inputs!$E$23+B66*Inputs!$E$25)*(Inputs!$E$13-Inputs!$E$14*J66)+Inputs!$E$27*Inputs!$E$28*Inputs!$E$29*(1+Inputs!$E$30*Inputs!$E$31/12)/Inputs!$E$31</f>
        <v/>
      </c>
      <c r="L66" s="58">
        <f>K66-I66</f>
        <v/>
      </c>
      <c r="M66" s="59">
        <f>IF(L66&gt;=0,1,0)</f>
        <v/>
      </c>
      <c r="N66" s="56">
        <f>Inputs!$E$33+MAX(0,MIN(B66,Inputs!$E$35)-MAX(0,C66))*Inputs!$E$36+MAX(0,MIN(B66,Inputs!$E$37)-MAX(Inputs!$E$35,C66))*Inputs!$E$38+MAX(0,MIN(B66,Inputs!$E$39)-MAX(Inputs!$E$37,C66))*Inputs!$E$40+MAX(0,B66-MAX(Inputs!$E$39,C66))*Inputs!$E$41</f>
        <v/>
      </c>
      <c r="O66" s="57">
        <f>(B66*(Inputs!$F$16-Inputs!$F$20/10000)+N66)/B66</f>
        <v/>
      </c>
      <c r="P66" s="56">
        <f>B66*Inputs!$F$20/10000+(B66/Inputs!$F$22*Inputs!$F$23+B66*Inputs!$F$25)*(Inputs!$F$13-Inputs!$F$14*O66)+Inputs!$F$27*Inputs!$F$28*Inputs!$F$29*(1+Inputs!$F$30*Inputs!$F$31/12)/Inputs!$F$31</f>
        <v/>
      </c>
      <c r="Q66" s="58">
        <f>P66-N66</f>
        <v/>
      </c>
      <c r="R66" s="59">
        <f>IF(Q66&gt;=0,1,0)</f>
        <v/>
      </c>
    </row>
    <row r="67">
      <c r="A67" s="60">
        <f>A66+5000</f>
        <v/>
      </c>
      <c r="B67" s="56">
        <f>A67*Inputs!$E$6</f>
        <v/>
      </c>
      <c r="C67" s="56">
        <f>MIN(B67,Inputs!$E$34)</f>
        <v/>
      </c>
      <c r="D67" s="56">
        <f>Inputs!$E$33+MAX(0,MIN(B67,Inputs!$E$35)-MAX(0,C67))*Inputs!$E$36+MAX(0,MIN(B67,Inputs!$E$37)-MAX(Inputs!$E$35,C67))*Inputs!$E$38+MAX(0,MIN(B67,Inputs!$E$39)-MAX(Inputs!$E$37,C67))*Inputs!$E$40+MAX(0,B67-MAX(Inputs!$E$39,C67))*Inputs!$E$41</f>
        <v/>
      </c>
      <c r="E67" s="57">
        <f>(B67*(Inputs!$D$16-Inputs!$D$20/10000)+D67)/B67</f>
        <v/>
      </c>
      <c r="F67" s="56">
        <f>B67*Inputs!$D$20/10000+(B67/Inputs!$D$22*Inputs!$D$23+B67*Inputs!$D$25)*(Inputs!$D$13-Inputs!$D$14*E67)+Inputs!$D$27*Inputs!$D$28*Inputs!$D$29*(1+Inputs!$D$30*Inputs!$D$31/12)/Inputs!$D$31</f>
        <v/>
      </c>
      <c r="G67" s="58">
        <f>F67-D67</f>
        <v/>
      </c>
      <c r="H67" s="59">
        <f>IF(G67&gt;=0,1,0)</f>
        <v/>
      </c>
      <c r="I67" s="56">
        <f>Inputs!$E$33+MAX(0,MIN(B67,Inputs!$E$35)-MAX(0,C67))*Inputs!$E$36+MAX(0,MIN(B67,Inputs!$E$37)-MAX(Inputs!$E$35,C67))*Inputs!$E$38+MAX(0,MIN(B67,Inputs!$E$39)-MAX(Inputs!$E$37,C67))*Inputs!$E$40+MAX(0,B67-MAX(Inputs!$E$39,C67))*Inputs!$E$41</f>
        <v/>
      </c>
      <c r="J67" s="57">
        <f>(B67*(Inputs!$E$16-Inputs!$E$20/10000)+I67)/B67</f>
        <v/>
      </c>
      <c r="K67" s="56">
        <f>B67*Inputs!$E$20/10000+(B67/Inputs!$E$22*Inputs!$E$23+B67*Inputs!$E$25)*(Inputs!$E$13-Inputs!$E$14*J67)+Inputs!$E$27*Inputs!$E$28*Inputs!$E$29*(1+Inputs!$E$30*Inputs!$E$31/12)/Inputs!$E$31</f>
        <v/>
      </c>
      <c r="L67" s="58">
        <f>K67-I67</f>
        <v/>
      </c>
      <c r="M67" s="59">
        <f>IF(L67&gt;=0,1,0)</f>
        <v/>
      </c>
      <c r="N67" s="56">
        <f>Inputs!$E$33+MAX(0,MIN(B67,Inputs!$E$35)-MAX(0,C67))*Inputs!$E$36+MAX(0,MIN(B67,Inputs!$E$37)-MAX(Inputs!$E$35,C67))*Inputs!$E$38+MAX(0,MIN(B67,Inputs!$E$39)-MAX(Inputs!$E$37,C67))*Inputs!$E$40+MAX(0,B67-MAX(Inputs!$E$39,C67))*Inputs!$E$41</f>
        <v/>
      </c>
      <c r="O67" s="57">
        <f>(B67*(Inputs!$F$16-Inputs!$F$20/10000)+N67)/B67</f>
        <v/>
      </c>
      <c r="P67" s="56">
        <f>B67*Inputs!$F$20/10000+(B67/Inputs!$F$22*Inputs!$F$23+B67*Inputs!$F$25)*(Inputs!$F$13-Inputs!$F$14*O67)+Inputs!$F$27*Inputs!$F$28*Inputs!$F$29*(1+Inputs!$F$30*Inputs!$F$31/12)/Inputs!$F$31</f>
        <v/>
      </c>
      <c r="Q67" s="58">
        <f>P67-N67</f>
        <v/>
      </c>
      <c r="R67" s="59">
        <f>IF(Q67&gt;=0,1,0)</f>
        <v/>
      </c>
    </row>
    <row r="68">
      <c r="A68" s="60">
        <f>A67+5000</f>
        <v/>
      </c>
      <c r="B68" s="56">
        <f>A68*Inputs!$E$6</f>
        <v/>
      </c>
      <c r="C68" s="56">
        <f>MIN(B68,Inputs!$E$34)</f>
        <v/>
      </c>
      <c r="D68" s="56">
        <f>Inputs!$E$33+MAX(0,MIN(B68,Inputs!$E$35)-MAX(0,C68))*Inputs!$E$36+MAX(0,MIN(B68,Inputs!$E$37)-MAX(Inputs!$E$35,C68))*Inputs!$E$38+MAX(0,MIN(B68,Inputs!$E$39)-MAX(Inputs!$E$37,C68))*Inputs!$E$40+MAX(0,B68-MAX(Inputs!$E$39,C68))*Inputs!$E$41</f>
        <v/>
      </c>
      <c r="E68" s="57">
        <f>(B68*(Inputs!$D$16-Inputs!$D$20/10000)+D68)/B68</f>
        <v/>
      </c>
      <c r="F68" s="56">
        <f>B68*Inputs!$D$20/10000+(B68/Inputs!$D$22*Inputs!$D$23+B68*Inputs!$D$25)*(Inputs!$D$13-Inputs!$D$14*E68)+Inputs!$D$27*Inputs!$D$28*Inputs!$D$29*(1+Inputs!$D$30*Inputs!$D$31/12)/Inputs!$D$31</f>
        <v/>
      </c>
      <c r="G68" s="58">
        <f>F68-D68</f>
        <v/>
      </c>
      <c r="H68" s="59">
        <f>IF(G68&gt;=0,1,0)</f>
        <v/>
      </c>
      <c r="I68" s="56">
        <f>Inputs!$E$33+MAX(0,MIN(B68,Inputs!$E$35)-MAX(0,C68))*Inputs!$E$36+MAX(0,MIN(B68,Inputs!$E$37)-MAX(Inputs!$E$35,C68))*Inputs!$E$38+MAX(0,MIN(B68,Inputs!$E$39)-MAX(Inputs!$E$37,C68))*Inputs!$E$40+MAX(0,B68-MAX(Inputs!$E$39,C68))*Inputs!$E$41</f>
        <v/>
      </c>
      <c r="J68" s="57">
        <f>(B68*(Inputs!$E$16-Inputs!$E$20/10000)+I68)/B68</f>
        <v/>
      </c>
      <c r="K68" s="56">
        <f>B68*Inputs!$E$20/10000+(B68/Inputs!$E$22*Inputs!$E$23+B68*Inputs!$E$25)*(Inputs!$E$13-Inputs!$E$14*J68)+Inputs!$E$27*Inputs!$E$28*Inputs!$E$29*(1+Inputs!$E$30*Inputs!$E$31/12)/Inputs!$E$31</f>
        <v/>
      </c>
      <c r="L68" s="58">
        <f>K68-I68</f>
        <v/>
      </c>
      <c r="M68" s="59">
        <f>IF(L68&gt;=0,1,0)</f>
        <v/>
      </c>
      <c r="N68" s="56">
        <f>Inputs!$E$33+MAX(0,MIN(B68,Inputs!$E$35)-MAX(0,C68))*Inputs!$E$36+MAX(0,MIN(B68,Inputs!$E$37)-MAX(Inputs!$E$35,C68))*Inputs!$E$38+MAX(0,MIN(B68,Inputs!$E$39)-MAX(Inputs!$E$37,C68))*Inputs!$E$40+MAX(0,B68-MAX(Inputs!$E$39,C68))*Inputs!$E$41</f>
        <v/>
      </c>
      <c r="O68" s="57">
        <f>(B68*(Inputs!$F$16-Inputs!$F$20/10000)+N68)/B68</f>
        <v/>
      </c>
      <c r="P68" s="56">
        <f>B68*Inputs!$F$20/10000+(B68/Inputs!$F$22*Inputs!$F$23+B68*Inputs!$F$25)*(Inputs!$F$13-Inputs!$F$14*O68)+Inputs!$F$27*Inputs!$F$28*Inputs!$F$29*(1+Inputs!$F$30*Inputs!$F$31/12)/Inputs!$F$31</f>
        <v/>
      </c>
      <c r="Q68" s="58">
        <f>P68-N68</f>
        <v/>
      </c>
      <c r="R68" s="59">
        <f>IF(Q68&gt;=0,1,0)</f>
        <v/>
      </c>
    </row>
    <row r="69">
      <c r="A69" s="60">
        <f>A68+5000</f>
        <v/>
      </c>
      <c r="B69" s="56">
        <f>A69*Inputs!$E$6</f>
        <v/>
      </c>
      <c r="C69" s="56">
        <f>MIN(B69,Inputs!$E$34)</f>
        <v/>
      </c>
      <c r="D69" s="56">
        <f>Inputs!$E$33+MAX(0,MIN(B69,Inputs!$E$35)-MAX(0,C69))*Inputs!$E$36+MAX(0,MIN(B69,Inputs!$E$37)-MAX(Inputs!$E$35,C69))*Inputs!$E$38+MAX(0,MIN(B69,Inputs!$E$39)-MAX(Inputs!$E$37,C69))*Inputs!$E$40+MAX(0,B69-MAX(Inputs!$E$39,C69))*Inputs!$E$41</f>
        <v/>
      </c>
      <c r="E69" s="57">
        <f>(B69*(Inputs!$D$16-Inputs!$D$20/10000)+D69)/B69</f>
        <v/>
      </c>
      <c r="F69" s="56">
        <f>B69*Inputs!$D$20/10000+(B69/Inputs!$D$22*Inputs!$D$23+B69*Inputs!$D$25)*(Inputs!$D$13-Inputs!$D$14*E69)+Inputs!$D$27*Inputs!$D$28*Inputs!$D$29*(1+Inputs!$D$30*Inputs!$D$31/12)/Inputs!$D$31</f>
        <v/>
      </c>
      <c r="G69" s="58">
        <f>F69-D69</f>
        <v/>
      </c>
      <c r="H69" s="59">
        <f>IF(G69&gt;=0,1,0)</f>
        <v/>
      </c>
      <c r="I69" s="56">
        <f>Inputs!$E$33+MAX(0,MIN(B69,Inputs!$E$35)-MAX(0,C69))*Inputs!$E$36+MAX(0,MIN(B69,Inputs!$E$37)-MAX(Inputs!$E$35,C69))*Inputs!$E$38+MAX(0,MIN(B69,Inputs!$E$39)-MAX(Inputs!$E$37,C69))*Inputs!$E$40+MAX(0,B69-MAX(Inputs!$E$39,C69))*Inputs!$E$41</f>
        <v/>
      </c>
      <c r="J69" s="57">
        <f>(B69*(Inputs!$E$16-Inputs!$E$20/10000)+I69)/B69</f>
        <v/>
      </c>
      <c r="K69" s="56">
        <f>B69*Inputs!$E$20/10000+(B69/Inputs!$E$22*Inputs!$E$23+B69*Inputs!$E$25)*(Inputs!$E$13-Inputs!$E$14*J69)+Inputs!$E$27*Inputs!$E$28*Inputs!$E$29*(1+Inputs!$E$30*Inputs!$E$31/12)/Inputs!$E$31</f>
        <v/>
      </c>
      <c r="L69" s="58">
        <f>K69-I69</f>
        <v/>
      </c>
      <c r="M69" s="59">
        <f>IF(L69&gt;=0,1,0)</f>
        <v/>
      </c>
      <c r="N69" s="56">
        <f>Inputs!$E$33+MAX(0,MIN(B69,Inputs!$E$35)-MAX(0,C69))*Inputs!$E$36+MAX(0,MIN(B69,Inputs!$E$37)-MAX(Inputs!$E$35,C69))*Inputs!$E$38+MAX(0,MIN(B69,Inputs!$E$39)-MAX(Inputs!$E$37,C69))*Inputs!$E$40+MAX(0,B69-MAX(Inputs!$E$39,C69))*Inputs!$E$41</f>
        <v/>
      </c>
      <c r="O69" s="57">
        <f>(B69*(Inputs!$F$16-Inputs!$F$20/10000)+N69)/B69</f>
        <v/>
      </c>
      <c r="P69" s="56">
        <f>B69*Inputs!$F$20/10000+(B69/Inputs!$F$22*Inputs!$F$23+B69*Inputs!$F$25)*(Inputs!$F$13-Inputs!$F$14*O69)+Inputs!$F$27*Inputs!$F$28*Inputs!$F$29*(1+Inputs!$F$30*Inputs!$F$31/12)/Inputs!$F$31</f>
        <v/>
      </c>
      <c r="Q69" s="58">
        <f>P69-N69</f>
        <v/>
      </c>
      <c r="R69" s="59">
        <f>IF(Q69&gt;=0,1,0)</f>
        <v/>
      </c>
    </row>
    <row r="70">
      <c r="A70" s="60">
        <f>A69+5000</f>
        <v/>
      </c>
      <c r="B70" s="56">
        <f>A70*Inputs!$E$6</f>
        <v/>
      </c>
      <c r="C70" s="56">
        <f>MIN(B70,Inputs!$E$34)</f>
        <v/>
      </c>
      <c r="D70" s="56">
        <f>Inputs!$E$33+MAX(0,MIN(B70,Inputs!$E$35)-MAX(0,C70))*Inputs!$E$36+MAX(0,MIN(B70,Inputs!$E$37)-MAX(Inputs!$E$35,C70))*Inputs!$E$38+MAX(0,MIN(B70,Inputs!$E$39)-MAX(Inputs!$E$37,C70))*Inputs!$E$40+MAX(0,B70-MAX(Inputs!$E$39,C70))*Inputs!$E$41</f>
        <v/>
      </c>
      <c r="E70" s="57">
        <f>(B70*(Inputs!$D$16-Inputs!$D$20/10000)+D70)/B70</f>
        <v/>
      </c>
      <c r="F70" s="56">
        <f>B70*Inputs!$D$20/10000+(B70/Inputs!$D$22*Inputs!$D$23+B70*Inputs!$D$25)*(Inputs!$D$13-Inputs!$D$14*E70)+Inputs!$D$27*Inputs!$D$28*Inputs!$D$29*(1+Inputs!$D$30*Inputs!$D$31/12)/Inputs!$D$31</f>
        <v/>
      </c>
      <c r="G70" s="58">
        <f>F70-D70</f>
        <v/>
      </c>
      <c r="H70" s="59">
        <f>IF(G70&gt;=0,1,0)</f>
        <v/>
      </c>
      <c r="I70" s="56">
        <f>Inputs!$E$33+MAX(0,MIN(B70,Inputs!$E$35)-MAX(0,C70))*Inputs!$E$36+MAX(0,MIN(B70,Inputs!$E$37)-MAX(Inputs!$E$35,C70))*Inputs!$E$38+MAX(0,MIN(B70,Inputs!$E$39)-MAX(Inputs!$E$37,C70))*Inputs!$E$40+MAX(0,B70-MAX(Inputs!$E$39,C70))*Inputs!$E$41</f>
        <v/>
      </c>
      <c r="J70" s="57">
        <f>(B70*(Inputs!$E$16-Inputs!$E$20/10000)+I70)/B70</f>
        <v/>
      </c>
      <c r="K70" s="56">
        <f>B70*Inputs!$E$20/10000+(B70/Inputs!$E$22*Inputs!$E$23+B70*Inputs!$E$25)*(Inputs!$E$13-Inputs!$E$14*J70)+Inputs!$E$27*Inputs!$E$28*Inputs!$E$29*(1+Inputs!$E$30*Inputs!$E$31/12)/Inputs!$E$31</f>
        <v/>
      </c>
      <c r="L70" s="58">
        <f>K70-I70</f>
        <v/>
      </c>
      <c r="M70" s="59">
        <f>IF(L70&gt;=0,1,0)</f>
        <v/>
      </c>
      <c r="N70" s="56">
        <f>Inputs!$E$33+MAX(0,MIN(B70,Inputs!$E$35)-MAX(0,C70))*Inputs!$E$36+MAX(0,MIN(B70,Inputs!$E$37)-MAX(Inputs!$E$35,C70))*Inputs!$E$38+MAX(0,MIN(B70,Inputs!$E$39)-MAX(Inputs!$E$37,C70))*Inputs!$E$40+MAX(0,B70-MAX(Inputs!$E$39,C70))*Inputs!$E$41</f>
        <v/>
      </c>
      <c r="O70" s="57">
        <f>(B70*(Inputs!$F$16-Inputs!$F$20/10000)+N70)/B70</f>
        <v/>
      </c>
      <c r="P70" s="56">
        <f>B70*Inputs!$F$20/10000+(B70/Inputs!$F$22*Inputs!$F$23+B70*Inputs!$F$25)*(Inputs!$F$13-Inputs!$F$14*O70)+Inputs!$F$27*Inputs!$F$28*Inputs!$F$29*(1+Inputs!$F$30*Inputs!$F$31/12)/Inputs!$F$31</f>
        <v/>
      </c>
      <c r="Q70" s="58">
        <f>P70-N70</f>
        <v/>
      </c>
      <c r="R70" s="59">
        <f>IF(Q70&gt;=0,1,0)</f>
        <v/>
      </c>
    </row>
    <row r="71">
      <c r="A71" s="60">
        <f>A70+5000</f>
        <v/>
      </c>
      <c r="B71" s="56">
        <f>A71*Inputs!$E$6</f>
        <v/>
      </c>
      <c r="C71" s="56">
        <f>MIN(B71,Inputs!$E$34)</f>
        <v/>
      </c>
      <c r="D71" s="56">
        <f>Inputs!$E$33+MAX(0,MIN(B71,Inputs!$E$35)-MAX(0,C71))*Inputs!$E$36+MAX(0,MIN(B71,Inputs!$E$37)-MAX(Inputs!$E$35,C71))*Inputs!$E$38+MAX(0,MIN(B71,Inputs!$E$39)-MAX(Inputs!$E$37,C71))*Inputs!$E$40+MAX(0,B71-MAX(Inputs!$E$39,C71))*Inputs!$E$41</f>
        <v/>
      </c>
      <c r="E71" s="57">
        <f>(B71*(Inputs!$D$16-Inputs!$D$20/10000)+D71)/B71</f>
        <v/>
      </c>
      <c r="F71" s="56">
        <f>B71*Inputs!$D$20/10000+(B71/Inputs!$D$22*Inputs!$D$23+B71*Inputs!$D$25)*(Inputs!$D$13-Inputs!$D$14*E71)+Inputs!$D$27*Inputs!$D$28*Inputs!$D$29*(1+Inputs!$D$30*Inputs!$D$31/12)/Inputs!$D$31</f>
        <v/>
      </c>
      <c r="G71" s="58">
        <f>F71-D71</f>
        <v/>
      </c>
      <c r="H71" s="59">
        <f>IF(G71&gt;=0,1,0)</f>
        <v/>
      </c>
      <c r="I71" s="56">
        <f>Inputs!$E$33+MAX(0,MIN(B71,Inputs!$E$35)-MAX(0,C71))*Inputs!$E$36+MAX(0,MIN(B71,Inputs!$E$37)-MAX(Inputs!$E$35,C71))*Inputs!$E$38+MAX(0,MIN(B71,Inputs!$E$39)-MAX(Inputs!$E$37,C71))*Inputs!$E$40+MAX(0,B71-MAX(Inputs!$E$39,C71))*Inputs!$E$41</f>
        <v/>
      </c>
      <c r="J71" s="57">
        <f>(B71*(Inputs!$E$16-Inputs!$E$20/10000)+I71)/B71</f>
        <v/>
      </c>
      <c r="K71" s="56">
        <f>B71*Inputs!$E$20/10000+(B71/Inputs!$E$22*Inputs!$E$23+B71*Inputs!$E$25)*(Inputs!$E$13-Inputs!$E$14*J71)+Inputs!$E$27*Inputs!$E$28*Inputs!$E$29*(1+Inputs!$E$30*Inputs!$E$31/12)/Inputs!$E$31</f>
        <v/>
      </c>
      <c r="L71" s="58">
        <f>K71-I71</f>
        <v/>
      </c>
      <c r="M71" s="59">
        <f>IF(L71&gt;=0,1,0)</f>
        <v/>
      </c>
      <c r="N71" s="56">
        <f>Inputs!$E$33+MAX(0,MIN(B71,Inputs!$E$35)-MAX(0,C71))*Inputs!$E$36+MAX(0,MIN(B71,Inputs!$E$37)-MAX(Inputs!$E$35,C71))*Inputs!$E$38+MAX(0,MIN(B71,Inputs!$E$39)-MAX(Inputs!$E$37,C71))*Inputs!$E$40+MAX(0,B71-MAX(Inputs!$E$39,C71))*Inputs!$E$41</f>
        <v/>
      </c>
      <c r="O71" s="57">
        <f>(B71*(Inputs!$F$16-Inputs!$F$20/10000)+N71)/B71</f>
        <v/>
      </c>
      <c r="P71" s="56">
        <f>B71*Inputs!$F$20/10000+(B71/Inputs!$F$22*Inputs!$F$23+B71*Inputs!$F$25)*(Inputs!$F$13-Inputs!$F$14*O71)+Inputs!$F$27*Inputs!$F$28*Inputs!$F$29*(1+Inputs!$F$30*Inputs!$F$31/12)/Inputs!$F$31</f>
        <v/>
      </c>
      <c r="Q71" s="58">
        <f>P71-N71</f>
        <v/>
      </c>
      <c r="R71" s="59">
        <f>IF(Q71&gt;=0,1,0)</f>
        <v/>
      </c>
    </row>
    <row r="72">
      <c r="A72" s="60">
        <f>A71+5000</f>
        <v/>
      </c>
      <c r="B72" s="56">
        <f>A72*Inputs!$E$6</f>
        <v/>
      </c>
      <c r="C72" s="56">
        <f>MIN(B72,Inputs!$E$34)</f>
        <v/>
      </c>
      <c r="D72" s="56">
        <f>Inputs!$E$33+MAX(0,MIN(B72,Inputs!$E$35)-MAX(0,C72))*Inputs!$E$36+MAX(0,MIN(B72,Inputs!$E$37)-MAX(Inputs!$E$35,C72))*Inputs!$E$38+MAX(0,MIN(B72,Inputs!$E$39)-MAX(Inputs!$E$37,C72))*Inputs!$E$40+MAX(0,B72-MAX(Inputs!$E$39,C72))*Inputs!$E$41</f>
        <v/>
      </c>
      <c r="E72" s="57">
        <f>(B72*(Inputs!$D$16-Inputs!$D$20/10000)+D72)/B72</f>
        <v/>
      </c>
      <c r="F72" s="56">
        <f>B72*Inputs!$D$20/10000+(B72/Inputs!$D$22*Inputs!$D$23+B72*Inputs!$D$25)*(Inputs!$D$13-Inputs!$D$14*E72)+Inputs!$D$27*Inputs!$D$28*Inputs!$D$29*(1+Inputs!$D$30*Inputs!$D$31/12)/Inputs!$D$31</f>
        <v/>
      </c>
      <c r="G72" s="58">
        <f>F72-D72</f>
        <v/>
      </c>
      <c r="H72" s="59">
        <f>IF(G72&gt;=0,1,0)</f>
        <v/>
      </c>
      <c r="I72" s="56">
        <f>Inputs!$E$33+MAX(0,MIN(B72,Inputs!$E$35)-MAX(0,C72))*Inputs!$E$36+MAX(0,MIN(B72,Inputs!$E$37)-MAX(Inputs!$E$35,C72))*Inputs!$E$38+MAX(0,MIN(B72,Inputs!$E$39)-MAX(Inputs!$E$37,C72))*Inputs!$E$40+MAX(0,B72-MAX(Inputs!$E$39,C72))*Inputs!$E$41</f>
        <v/>
      </c>
      <c r="J72" s="57">
        <f>(B72*(Inputs!$E$16-Inputs!$E$20/10000)+I72)/B72</f>
        <v/>
      </c>
      <c r="K72" s="56">
        <f>B72*Inputs!$E$20/10000+(B72/Inputs!$E$22*Inputs!$E$23+B72*Inputs!$E$25)*(Inputs!$E$13-Inputs!$E$14*J72)+Inputs!$E$27*Inputs!$E$28*Inputs!$E$29*(1+Inputs!$E$30*Inputs!$E$31/12)/Inputs!$E$31</f>
        <v/>
      </c>
      <c r="L72" s="58">
        <f>K72-I72</f>
        <v/>
      </c>
      <c r="M72" s="59">
        <f>IF(L72&gt;=0,1,0)</f>
        <v/>
      </c>
      <c r="N72" s="56">
        <f>Inputs!$E$33+MAX(0,MIN(B72,Inputs!$E$35)-MAX(0,C72))*Inputs!$E$36+MAX(0,MIN(B72,Inputs!$E$37)-MAX(Inputs!$E$35,C72))*Inputs!$E$38+MAX(0,MIN(B72,Inputs!$E$39)-MAX(Inputs!$E$37,C72))*Inputs!$E$40+MAX(0,B72-MAX(Inputs!$E$39,C72))*Inputs!$E$41</f>
        <v/>
      </c>
      <c r="O72" s="57">
        <f>(B72*(Inputs!$F$16-Inputs!$F$20/10000)+N72)/B72</f>
        <v/>
      </c>
      <c r="P72" s="56">
        <f>B72*Inputs!$F$20/10000+(B72/Inputs!$F$22*Inputs!$F$23+B72*Inputs!$F$25)*(Inputs!$F$13-Inputs!$F$14*O72)+Inputs!$F$27*Inputs!$F$28*Inputs!$F$29*(1+Inputs!$F$30*Inputs!$F$31/12)/Inputs!$F$31</f>
        <v/>
      </c>
      <c r="Q72" s="58">
        <f>P72-N72</f>
        <v/>
      </c>
      <c r="R72" s="59">
        <f>IF(Q72&gt;=0,1,0)</f>
        <v/>
      </c>
    </row>
    <row r="73">
      <c r="A73" s="60">
        <f>A72+5000</f>
        <v/>
      </c>
      <c r="B73" s="56">
        <f>A73*Inputs!$E$6</f>
        <v/>
      </c>
      <c r="C73" s="56">
        <f>MIN(B73,Inputs!$E$34)</f>
        <v/>
      </c>
      <c r="D73" s="56">
        <f>Inputs!$E$33+MAX(0,MIN(B73,Inputs!$E$35)-MAX(0,C73))*Inputs!$E$36+MAX(0,MIN(B73,Inputs!$E$37)-MAX(Inputs!$E$35,C73))*Inputs!$E$38+MAX(0,MIN(B73,Inputs!$E$39)-MAX(Inputs!$E$37,C73))*Inputs!$E$40+MAX(0,B73-MAX(Inputs!$E$39,C73))*Inputs!$E$41</f>
        <v/>
      </c>
      <c r="E73" s="57">
        <f>(B73*(Inputs!$D$16-Inputs!$D$20/10000)+D73)/B73</f>
        <v/>
      </c>
      <c r="F73" s="56">
        <f>B73*Inputs!$D$20/10000+(B73/Inputs!$D$22*Inputs!$D$23+B73*Inputs!$D$25)*(Inputs!$D$13-Inputs!$D$14*E73)+Inputs!$D$27*Inputs!$D$28*Inputs!$D$29*(1+Inputs!$D$30*Inputs!$D$31/12)/Inputs!$D$31</f>
        <v/>
      </c>
      <c r="G73" s="58">
        <f>F73-D73</f>
        <v/>
      </c>
      <c r="H73" s="59">
        <f>IF(G73&gt;=0,1,0)</f>
        <v/>
      </c>
      <c r="I73" s="56">
        <f>Inputs!$E$33+MAX(0,MIN(B73,Inputs!$E$35)-MAX(0,C73))*Inputs!$E$36+MAX(0,MIN(B73,Inputs!$E$37)-MAX(Inputs!$E$35,C73))*Inputs!$E$38+MAX(0,MIN(B73,Inputs!$E$39)-MAX(Inputs!$E$37,C73))*Inputs!$E$40+MAX(0,B73-MAX(Inputs!$E$39,C73))*Inputs!$E$41</f>
        <v/>
      </c>
      <c r="J73" s="57">
        <f>(B73*(Inputs!$E$16-Inputs!$E$20/10000)+I73)/B73</f>
        <v/>
      </c>
      <c r="K73" s="56">
        <f>B73*Inputs!$E$20/10000+(B73/Inputs!$E$22*Inputs!$E$23+B73*Inputs!$E$25)*(Inputs!$E$13-Inputs!$E$14*J73)+Inputs!$E$27*Inputs!$E$28*Inputs!$E$29*(1+Inputs!$E$30*Inputs!$E$31/12)/Inputs!$E$31</f>
        <v/>
      </c>
      <c r="L73" s="58">
        <f>K73-I73</f>
        <v/>
      </c>
      <c r="M73" s="59">
        <f>IF(L73&gt;=0,1,0)</f>
        <v/>
      </c>
      <c r="N73" s="56">
        <f>Inputs!$E$33+MAX(0,MIN(B73,Inputs!$E$35)-MAX(0,C73))*Inputs!$E$36+MAX(0,MIN(B73,Inputs!$E$37)-MAX(Inputs!$E$35,C73))*Inputs!$E$38+MAX(0,MIN(B73,Inputs!$E$39)-MAX(Inputs!$E$37,C73))*Inputs!$E$40+MAX(0,B73-MAX(Inputs!$E$39,C73))*Inputs!$E$41</f>
        <v/>
      </c>
      <c r="O73" s="57">
        <f>(B73*(Inputs!$F$16-Inputs!$F$20/10000)+N73)/B73</f>
        <v/>
      </c>
      <c r="P73" s="56">
        <f>B73*Inputs!$F$20/10000+(B73/Inputs!$F$22*Inputs!$F$23+B73*Inputs!$F$25)*(Inputs!$F$13-Inputs!$F$14*O73)+Inputs!$F$27*Inputs!$F$28*Inputs!$F$29*(1+Inputs!$F$30*Inputs!$F$31/12)/Inputs!$F$31</f>
        <v/>
      </c>
      <c r="Q73" s="58">
        <f>P73-N73</f>
        <v/>
      </c>
      <c r="R73" s="59">
        <f>IF(Q73&gt;=0,1,0)</f>
        <v/>
      </c>
    </row>
    <row r="74">
      <c r="A74" s="60">
        <f>A73+5000</f>
        <v/>
      </c>
      <c r="B74" s="56">
        <f>A74*Inputs!$E$6</f>
        <v/>
      </c>
      <c r="C74" s="56">
        <f>MIN(B74,Inputs!$E$34)</f>
        <v/>
      </c>
      <c r="D74" s="56">
        <f>Inputs!$E$33+MAX(0,MIN(B74,Inputs!$E$35)-MAX(0,C74))*Inputs!$E$36+MAX(0,MIN(B74,Inputs!$E$37)-MAX(Inputs!$E$35,C74))*Inputs!$E$38+MAX(0,MIN(B74,Inputs!$E$39)-MAX(Inputs!$E$37,C74))*Inputs!$E$40+MAX(0,B74-MAX(Inputs!$E$39,C74))*Inputs!$E$41</f>
        <v/>
      </c>
      <c r="E74" s="57">
        <f>(B74*(Inputs!$D$16-Inputs!$D$20/10000)+D74)/B74</f>
        <v/>
      </c>
      <c r="F74" s="56">
        <f>B74*Inputs!$D$20/10000+(B74/Inputs!$D$22*Inputs!$D$23+B74*Inputs!$D$25)*(Inputs!$D$13-Inputs!$D$14*E74)+Inputs!$D$27*Inputs!$D$28*Inputs!$D$29*(1+Inputs!$D$30*Inputs!$D$31/12)/Inputs!$D$31</f>
        <v/>
      </c>
      <c r="G74" s="58">
        <f>F74-D74</f>
        <v/>
      </c>
      <c r="H74" s="59">
        <f>IF(G74&gt;=0,1,0)</f>
        <v/>
      </c>
      <c r="I74" s="56">
        <f>Inputs!$E$33+MAX(0,MIN(B74,Inputs!$E$35)-MAX(0,C74))*Inputs!$E$36+MAX(0,MIN(B74,Inputs!$E$37)-MAX(Inputs!$E$35,C74))*Inputs!$E$38+MAX(0,MIN(B74,Inputs!$E$39)-MAX(Inputs!$E$37,C74))*Inputs!$E$40+MAX(0,B74-MAX(Inputs!$E$39,C74))*Inputs!$E$41</f>
        <v/>
      </c>
      <c r="J74" s="57">
        <f>(B74*(Inputs!$E$16-Inputs!$E$20/10000)+I74)/B74</f>
        <v/>
      </c>
      <c r="K74" s="56">
        <f>B74*Inputs!$E$20/10000+(B74/Inputs!$E$22*Inputs!$E$23+B74*Inputs!$E$25)*(Inputs!$E$13-Inputs!$E$14*J74)+Inputs!$E$27*Inputs!$E$28*Inputs!$E$29*(1+Inputs!$E$30*Inputs!$E$31/12)/Inputs!$E$31</f>
        <v/>
      </c>
      <c r="L74" s="58">
        <f>K74-I74</f>
        <v/>
      </c>
      <c r="M74" s="59">
        <f>IF(L74&gt;=0,1,0)</f>
        <v/>
      </c>
      <c r="N74" s="56">
        <f>Inputs!$E$33+MAX(0,MIN(B74,Inputs!$E$35)-MAX(0,C74))*Inputs!$E$36+MAX(0,MIN(B74,Inputs!$E$37)-MAX(Inputs!$E$35,C74))*Inputs!$E$38+MAX(0,MIN(B74,Inputs!$E$39)-MAX(Inputs!$E$37,C74))*Inputs!$E$40+MAX(0,B74-MAX(Inputs!$E$39,C74))*Inputs!$E$41</f>
        <v/>
      </c>
      <c r="O74" s="57">
        <f>(B74*(Inputs!$F$16-Inputs!$F$20/10000)+N74)/B74</f>
        <v/>
      </c>
      <c r="P74" s="56">
        <f>B74*Inputs!$F$20/10000+(B74/Inputs!$F$22*Inputs!$F$23+B74*Inputs!$F$25)*(Inputs!$F$13-Inputs!$F$14*O74)+Inputs!$F$27*Inputs!$F$28*Inputs!$F$29*(1+Inputs!$F$30*Inputs!$F$31/12)/Inputs!$F$31</f>
        <v/>
      </c>
      <c r="Q74" s="58">
        <f>P74-N74</f>
        <v/>
      </c>
      <c r="R74" s="59">
        <f>IF(Q74&gt;=0,1,0)</f>
        <v/>
      </c>
    </row>
    <row r="75">
      <c r="A75" s="60">
        <f>A74+5000</f>
        <v/>
      </c>
      <c r="B75" s="56">
        <f>A75*Inputs!$E$6</f>
        <v/>
      </c>
      <c r="C75" s="56">
        <f>MIN(B75,Inputs!$E$34)</f>
        <v/>
      </c>
      <c r="D75" s="56">
        <f>Inputs!$E$33+MAX(0,MIN(B75,Inputs!$E$35)-MAX(0,C75))*Inputs!$E$36+MAX(0,MIN(B75,Inputs!$E$37)-MAX(Inputs!$E$35,C75))*Inputs!$E$38+MAX(0,MIN(B75,Inputs!$E$39)-MAX(Inputs!$E$37,C75))*Inputs!$E$40+MAX(0,B75-MAX(Inputs!$E$39,C75))*Inputs!$E$41</f>
        <v/>
      </c>
      <c r="E75" s="57">
        <f>(B75*(Inputs!$D$16-Inputs!$D$20/10000)+D75)/B75</f>
        <v/>
      </c>
      <c r="F75" s="56">
        <f>B75*Inputs!$D$20/10000+(B75/Inputs!$D$22*Inputs!$D$23+B75*Inputs!$D$25)*(Inputs!$D$13-Inputs!$D$14*E75)+Inputs!$D$27*Inputs!$D$28*Inputs!$D$29*(1+Inputs!$D$30*Inputs!$D$31/12)/Inputs!$D$31</f>
        <v/>
      </c>
      <c r="G75" s="58">
        <f>F75-D75</f>
        <v/>
      </c>
      <c r="H75" s="59">
        <f>IF(G75&gt;=0,1,0)</f>
        <v/>
      </c>
      <c r="I75" s="56">
        <f>Inputs!$E$33+MAX(0,MIN(B75,Inputs!$E$35)-MAX(0,C75))*Inputs!$E$36+MAX(0,MIN(B75,Inputs!$E$37)-MAX(Inputs!$E$35,C75))*Inputs!$E$38+MAX(0,MIN(B75,Inputs!$E$39)-MAX(Inputs!$E$37,C75))*Inputs!$E$40+MAX(0,B75-MAX(Inputs!$E$39,C75))*Inputs!$E$41</f>
        <v/>
      </c>
      <c r="J75" s="57">
        <f>(B75*(Inputs!$E$16-Inputs!$E$20/10000)+I75)/B75</f>
        <v/>
      </c>
      <c r="K75" s="56">
        <f>B75*Inputs!$E$20/10000+(B75/Inputs!$E$22*Inputs!$E$23+B75*Inputs!$E$25)*(Inputs!$E$13-Inputs!$E$14*J75)+Inputs!$E$27*Inputs!$E$28*Inputs!$E$29*(1+Inputs!$E$30*Inputs!$E$31/12)/Inputs!$E$31</f>
        <v/>
      </c>
      <c r="L75" s="58">
        <f>K75-I75</f>
        <v/>
      </c>
      <c r="M75" s="59">
        <f>IF(L75&gt;=0,1,0)</f>
        <v/>
      </c>
      <c r="N75" s="56">
        <f>Inputs!$E$33+MAX(0,MIN(B75,Inputs!$E$35)-MAX(0,C75))*Inputs!$E$36+MAX(0,MIN(B75,Inputs!$E$37)-MAX(Inputs!$E$35,C75))*Inputs!$E$38+MAX(0,MIN(B75,Inputs!$E$39)-MAX(Inputs!$E$37,C75))*Inputs!$E$40+MAX(0,B75-MAX(Inputs!$E$39,C75))*Inputs!$E$41</f>
        <v/>
      </c>
      <c r="O75" s="57">
        <f>(B75*(Inputs!$F$16-Inputs!$F$20/10000)+N75)/B75</f>
        <v/>
      </c>
      <c r="P75" s="56">
        <f>B75*Inputs!$F$20/10000+(B75/Inputs!$F$22*Inputs!$F$23+B75*Inputs!$F$25)*(Inputs!$F$13-Inputs!$F$14*O75)+Inputs!$F$27*Inputs!$F$28*Inputs!$F$29*(1+Inputs!$F$30*Inputs!$F$31/12)/Inputs!$F$31</f>
        <v/>
      </c>
      <c r="Q75" s="58">
        <f>P75-N75</f>
        <v/>
      </c>
      <c r="R75" s="59">
        <f>IF(Q75&gt;=0,1,0)</f>
        <v/>
      </c>
    </row>
    <row r="76">
      <c r="A76" s="60">
        <f>A75+5000</f>
        <v/>
      </c>
      <c r="B76" s="56">
        <f>A76*Inputs!$E$6</f>
        <v/>
      </c>
      <c r="C76" s="56">
        <f>MIN(B76,Inputs!$E$34)</f>
        <v/>
      </c>
      <c r="D76" s="56">
        <f>Inputs!$E$33+MAX(0,MIN(B76,Inputs!$E$35)-MAX(0,C76))*Inputs!$E$36+MAX(0,MIN(B76,Inputs!$E$37)-MAX(Inputs!$E$35,C76))*Inputs!$E$38+MAX(0,MIN(B76,Inputs!$E$39)-MAX(Inputs!$E$37,C76))*Inputs!$E$40+MAX(0,B76-MAX(Inputs!$E$39,C76))*Inputs!$E$41</f>
        <v/>
      </c>
      <c r="E76" s="57">
        <f>(B76*(Inputs!$D$16-Inputs!$D$20/10000)+D76)/B76</f>
        <v/>
      </c>
      <c r="F76" s="56">
        <f>B76*Inputs!$D$20/10000+(B76/Inputs!$D$22*Inputs!$D$23+B76*Inputs!$D$25)*(Inputs!$D$13-Inputs!$D$14*E76)+Inputs!$D$27*Inputs!$D$28*Inputs!$D$29*(1+Inputs!$D$30*Inputs!$D$31/12)/Inputs!$D$31</f>
        <v/>
      </c>
      <c r="G76" s="58">
        <f>F76-D76</f>
        <v/>
      </c>
      <c r="H76" s="59">
        <f>IF(G76&gt;=0,1,0)</f>
        <v/>
      </c>
      <c r="I76" s="56">
        <f>Inputs!$E$33+MAX(0,MIN(B76,Inputs!$E$35)-MAX(0,C76))*Inputs!$E$36+MAX(0,MIN(B76,Inputs!$E$37)-MAX(Inputs!$E$35,C76))*Inputs!$E$38+MAX(0,MIN(B76,Inputs!$E$39)-MAX(Inputs!$E$37,C76))*Inputs!$E$40+MAX(0,B76-MAX(Inputs!$E$39,C76))*Inputs!$E$41</f>
        <v/>
      </c>
      <c r="J76" s="57">
        <f>(B76*(Inputs!$E$16-Inputs!$E$20/10000)+I76)/B76</f>
        <v/>
      </c>
      <c r="K76" s="56">
        <f>B76*Inputs!$E$20/10000+(B76/Inputs!$E$22*Inputs!$E$23+B76*Inputs!$E$25)*(Inputs!$E$13-Inputs!$E$14*J76)+Inputs!$E$27*Inputs!$E$28*Inputs!$E$29*(1+Inputs!$E$30*Inputs!$E$31/12)/Inputs!$E$31</f>
        <v/>
      </c>
      <c r="L76" s="58">
        <f>K76-I76</f>
        <v/>
      </c>
      <c r="M76" s="59">
        <f>IF(L76&gt;=0,1,0)</f>
        <v/>
      </c>
      <c r="N76" s="56">
        <f>Inputs!$E$33+MAX(0,MIN(B76,Inputs!$E$35)-MAX(0,C76))*Inputs!$E$36+MAX(0,MIN(B76,Inputs!$E$37)-MAX(Inputs!$E$35,C76))*Inputs!$E$38+MAX(0,MIN(B76,Inputs!$E$39)-MAX(Inputs!$E$37,C76))*Inputs!$E$40+MAX(0,B76-MAX(Inputs!$E$39,C76))*Inputs!$E$41</f>
        <v/>
      </c>
      <c r="O76" s="57">
        <f>(B76*(Inputs!$F$16-Inputs!$F$20/10000)+N76)/B76</f>
        <v/>
      </c>
      <c r="P76" s="56">
        <f>B76*Inputs!$F$20/10000+(B76/Inputs!$F$22*Inputs!$F$23+B76*Inputs!$F$25)*(Inputs!$F$13-Inputs!$F$14*O76)+Inputs!$F$27*Inputs!$F$28*Inputs!$F$29*(1+Inputs!$F$30*Inputs!$F$31/12)/Inputs!$F$31</f>
        <v/>
      </c>
      <c r="Q76" s="58">
        <f>P76-N76</f>
        <v/>
      </c>
      <c r="R76" s="59">
        <f>IF(Q76&gt;=0,1,0)</f>
        <v/>
      </c>
    </row>
    <row r="77">
      <c r="A77" s="60">
        <f>A76+5000</f>
        <v/>
      </c>
      <c r="B77" s="56">
        <f>A77*Inputs!$E$6</f>
        <v/>
      </c>
      <c r="C77" s="56">
        <f>MIN(B77,Inputs!$E$34)</f>
        <v/>
      </c>
      <c r="D77" s="56">
        <f>Inputs!$E$33+MAX(0,MIN(B77,Inputs!$E$35)-MAX(0,C77))*Inputs!$E$36+MAX(0,MIN(B77,Inputs!$E$37)-MAX(Inputs!$E$35,C77))*Inputs!$E$38+MAX(0,MIN(B77,Inputs!$E$39)-MAX(Inputs!$E$37,C77))*Inputs!$E$40+MAX(0,B77-MAX(Inputs!$E$39,C77))*Inputs!$E$41</f>
        <v/>
      </c>
      <c r="E77" s="57">
        <f>(B77*(Inputs!$D$16-Inputs!$D$20/10000)+D77)/B77</f>
        <v/>
      </c>
      <c r="F77" s="56">
        <f>B77*Inputs!$D$20/10000+(B77/Inputs!$D$22*Inputs!$D$23+B77*Inputs!$D$25)*(Inputs!$D$13-Inputs!$D$14*E77)+Inputs!$D$27*Inputs!$D$28*Inputs!$D$29*(1+Inputs!$D$30*Inputs!$D$31/12)/Inputs!$D$31</f>
        <v/>
      </c>
      <c r="G77" s="58">
        <f>F77-D77</f>
        <v/>
      </c>
      <c r="H77" s="59">
        <f>IF(G77&gt;=0,1,0)</f>
        <v/>
      </c>
      <c r="I77" s="56">
        <f>Inputs!$E$33+MAX(0,MIN(B77,Inputs!$E$35)-MAX(0,C77))*Inputs!$E$36+MAX(0,MIN(B77,Inputs!$E$37)-MAX(Inputs!$E$35,C77))*Inputs!$E$38+MAX(0,MIN(B77,Inputs!$E$39)-MAX(Inputs!$E$37,C77))*Inputs!$E$40+MAX(0,B77-MAX(Inputs!$E$39,C77))*Inputs!$E$41</f>
        <v/>
      </c>
      <c r="J77" s="57">
        <f>(B77*(Inputs!$E$16-Inputs!$E$20/10000)+I77)/B77</f>
        <v/>
      </c>
      <c r="K77" s="56">
        <f>B77*Inputs!$E$20/10000+(B77/Inputs!$E$22*Inputs!$E$23+B77*Inputs!$E$25)*(Inputs!$E$13-Inputs!$E$14*J77)+Inputs!$E$27*Inputs!$E$28*Inputs!$E$29*(1+Inputs!$E$30*Inputs!$E$31/12)/Inputs!$E$31</f>
        <v/>
      </c>
      <c r="L77" s="58">
        <f>K77-I77</f>
        <v/>
      </c>
      <c r="M77" s="59">
        <f>IF(L77&gt;=0,1,0)</f>
        <v/>
      </c>
      <c r="N77" s="56">
        <f>Inputs!$E$33+MAX(0,MIN(B77,Inputs!$E$35)-MAX(0,C77))*Inputs!$E$36+MAX(0,MIN(B77,Inputs!$E$37)-MAX(Inputs!$E$35,C77))*Inputs!$E$38+MAX(0,MIN(B77,Inputs!$E$39)-MAX(Inputs!$E$37,C77))*Inputs!$E$40+MAX(0,B77-MAX(Inputs!$E$39,C77))*Inputs!$E$41</f>
        <v/>
      </c>
      <c r="O77" s="57">
        <f>(B77*(Inputs!$F$16-Inputs!$F$20/10000)+N77)/B77</f>
        <v/>
      </c>
      <c r="P77" s="56">
        <f>B77*Inputs!$F$20/10000+(B77/Inputs!$F$22*Inputs!$F$23+B77*Inputs!$F$25)*(Inputs!$F$13-Inputs!$F$14*O77)+Inputs!$F$27*Inputs!$F$28*Inputs!$F$29*(1+Inputs!$F$30*Inputs!$F$31/12)/Inputs!$F$31</f>
        <v/>
      </c>
      <c r="Q77" s="58">
        <f>P77-N77</f>
        <v/>
      </c>
      <c r="R77" s="59">
        <f>IF(Q77&gt;=0,1,0)</f>
        <v/>
      </c>
    </row>
    <row r="78">
      <c r="A78" s="60">
        <f>A77+5000</f>
        <v/>
      </c>
      <c r="B78" s="56">
        <f>A78*Inputs!$E$6</f>
        <v/>
      </c>
      <c r="C78" s="56">
        <f>MIN(B78,Inputs!$E$34)</f>
        <v/>
      </c>
      <c r="D78" s="56">
        <f>Inputs!$E$33+MAX(0,MIN(B78,Inputs!$E$35)-MAX(0,C78))*Inputs!$E$36+MAX(0,MIN(B78,Inputs!$E$37)-MAX(Inputs!$E$35,C78))*Inputs!$E$38+MAX(0,MIN(B78,Inputs!$E$39)-MAX(Inputs!$E$37,C78))*Inputs!$E$40+MAX(0,B78-MAX(Inputs!$E$39,C78))*Inputs!$E$41</f>
        <v/>
      </c>
      <c r="E78" s="57">
        <f>(B78*(Inputs!$D$16-Inputs!$D$20/10000)+D78)/B78</f>
        <v/>
      </c>
      <c r="F78" s="56">
        <f>B78*Inputs!$D$20/10000+(B78/Inputs!$D$22*Inputs!$D$23+B78*Inputs!$D$25)*(Inputs!$D$13-Inputs!$D$14*E78)+Inputs!$D$27*Inputs!$D$28*Inputs!$D$29*(1+Inputs!$D$30*Inputs!$D$31/12)/Inputs!$D$31</f>
        <v/>
      </c>
      <c r="G78" s="58">
        <f>F78-D78</f>
        <v/>
      </c>
      <c r="H78" s="59">
        <f>IF(G78&gt;=0,1,0)</f>
        <v/>
      </c>
      <c r="I78" s="56">
        <f>Inputs!$E$33+MAX(0,MIN(B78,Inputs!$E$35)-MAX(0,C78))*Inputs!$E$36+MAX(0,MIN(B78,Inputs!$E$37)-MAX(Inputs!$E$35,C78))*Inputs!$E$38+MAX(0,MIN(B78,Inputs!$E$39)-MAX(Inputs!$E$37,C78))*Inputs!$E$40+MAX(0,B78-MAX(Inputs!$E$39,C78))*Inputs!$E$41</f>
        <v/>
      </c>
      <c r="J78" s="57">
        <f>(B78*(Inputs!$E$16-Inputs!$E$20/10000)+I78)/B78</f>
        <v/>
      </c>
      <c r="K78" s="56">
        <f>B78*Inputs!$E$20/10000+(B78/Inputs!$E$22*Inputs!$E$23+B78*Inputs!$E$25)*(Inputs!$E$13-Inputs!$E$14*J78)+Inputs!$E$27*Inputs!$E$28*Inputs!$E$29*(1+Inputs!$E$30*Inputs!$E$31/12)/Inputs!$E$31</f>
        <v/>
      </c>
      <c r="L78" s="58">
        <f>K78-I78</f>
        <v/>
      </c>
      <c r="M78" s="59">
        <f>IF(L78&gt;=0,1,0)</f>
        <v/>
      </c>
      <c r="N78" s="56">
        <f>Inputs!$E$33+MAX(0,MIN(B78,Inputs!$E$35)-MAX(0,C78))*Inputs!$E$36+MAX(0,MIN(B78,Inputs!$E$37)-MAX(Inputs!$E$35,C78))*Inputs!$E$38+MAX(0,MIN(B78,Inputs!$E$39)-MAX(Inputs!$E$37,C78))*Inputs!$E$40+MAX(0,B78-MAX(Inputs!$E$39,C78))*Inputs!$E$41</f>
        <v/>
      </c>
      <c r="O78" s="57">
        <f>(B78*(Inputs!$F$16-Inputs!$F$20/10000)+N78)/B78</f>
        <v/>
      </c>
      <c r="P78" s="56">
        <f>B78*Inputs!$F$20/10000+(B78/Inputs!$F$22*Inputs!$F$23+B78*Inputs!$F$25)*(Inputs!$F$13-Inputs!$F$14*O78)+Inputs!$F$27*Inputs!$F$28*Inputs!$F$29*(1+Inputs!$F$30*Inputs!$F$31/12)/Inputs!$F$31</f>
        <v/>
      </c>
      <c r="Q78" s="58">
        <f>P78-N78</f>
        <v/>
      </c>
      <c r="R78" s="59">
        <f>IF(Q78&gt;=0,1,0)</f>
        <v/>
      </c>
    </row>
    <row r="79">
      <c r="A79" s="60">
        <f>A78+5000</f>
        <v/>
      </c>
      <c r="B79" s="56">
        <f>A79*Inputs!$E$6</f>
        <v/>
      </c>
      <c r="C79" s="56">
        <f>MIN(B79,Inputs!$E$34)</f>
        <v/>
      </c>
      <c r="D79" s="56">
        <f>Inputs!$E$33+MAX(0,MIN(B79,Inputs!$E$35)-MAX(0,C79))*Inputs!$E$36+MAX(0,MIN(B79,Inputs!$E$37)-MAX(Inputs!$E$35,C79))*Inputs!$E$38+MAX(0,MIN(B79,Inputs!$E$39)-MAX(Inputs!$E$37,C79))*Inputs!$E$40+MAX(0,B79-MAX(Inputs!$E$39,C79))*Inputs!$E$41</f>
        <v/>
      </c>
      <c r="E79" s="57">
        <f>(B79*(Inputs!$D$16-Inputs!$D$20/10000)+D79)/B79</f>
        <v/>
      </c>
      <c r="F79" s="56">
        <f>B79*Inputs!$D$20/10000+(B79/Inputs!$D$22*Inputs!$D$23+B79*Inputs!$D$25)*(Inputs!$D$13-Inputs!$D$14*E79)+Inputs!$D$27*Inputs!$D$28*Inputs!$D$29*(1+Inputs!$D$30*Inputs!$D$31/12)/Inputs!$D$31</f>
        <v/>
      </c>
      <c r="G79" s="58">
        <f>F79-D79</f>
        <v/>
      </c>
      <c r="H79" s="59">
        <f>IF(G79&gt;=0,1,0)</f>
        <v/>
      </c>
      <c r="I79" s="56">
        <f>Inputs!$E$33+MAX(0,MIN(B79,Inputs!$E$35)-MAX(0,C79))*Inputs!$E$36+MAX(0,MIN(B79,Inputs!$E$37)-MAX(Inputs!$E$35,C79))*Inputs!$E$38+MAX(0,MIN(B79,Inputs!$E$39)-MAX(Inputs!$E$37,C79))*Inputs!$E$40+MAX(0,B79-MAX(Inputs!$E$39,C79))*Inputs!$E$41</f>
        <v/>
      </c>
      <c r="J79" s="57">
        <f>(B79*(Inputs!$E$16-Inputs!$E$20/10000)+I79)/B79</f>
        <v/>
      </c>
      <c r="K79" s="56">
        <f>B79*Inputs!$E$20/10000+(B79/Inputs!$E$22*Inputs!$E$23+B79*Inputs!$E$25)*(Inputs!$E$13-Inputs!$E$14*J79)+Inputs!$E$27*Inputs!$E$28*Inputs!$E$29*(1+Inputs!$E$30*Inputs!$E$31/12)/Inputs!$E$31</f>
        <v/>
      </c>
      <c r="L79" s="58">
        <f>K79-I79</f>
        <v/>
      </c>
      <c r="M79" s="59">
        <f>IF(L79&gt;=0,1,0)</f>
        <v/>
      </c>
      <c r="N79" s="56">
        <f>Inputs!$E$33+MAX(0,MIN(B79,Inputs!$E$35)-MAX(0,C79))*Inputs!$E$36+MAX(0,MIN(B79,Inputs!$E$37)-MAX(Inputs!$E$35,C79))*Inputs!$E$38+MAX(0,MIN(B79,Inputs!$E$39)-MAX(Inputs!$E$37,C79))*Inputs!$E$40+MAX(0,B79-MAX(Inputs!$E$39,C79))*Inputs!$E$41</f>
        <v/>
      </c>
      <c r="O79" s="57">
        <f>(B79*(Inputs!$F$16-Inputs!$F$20/10000)+N79)/B79</f>
        <v/>
      </c>
      <c r="P79" s="56">
        <f>B79*Inputs!$F$20/10000+(B79/Inputs!$F$22*Inputs!$F$23+B79*Inputs!$F$25)*(Inputs!$F$13-Inputs!$F$14*O79)+Inputs!$F$27*Inputs!$F$28*Inputs!$F$29*(1+Inputs!$F$30*Inputs!$F$31/12)/Inputs!$F$31</f>
        <v/>
      </c>
      <c r="Q79" s="58">
        <f>P79-N79</f>
        <v/>
      </c>
      <c r="R79" s="59">
        <f>IF(Q79&gt;=0,1,0)</f>
        <v/>
      </c>
    </row>
    <row r="80">
      <c r="A80" s="60">
        <f>A79+5000</f>
        <v/>
      </c>
      <c r="B80" s="56">
        <f>A80*Inputs!$E$6</f>
        <v/>
      </c>
      <c r="C80" s="56">
        <f>MIN(B80,Inputs!$E$34)</f>
        <v/>
      </c>
      <c r="D80" s="56">
        <f>Inputs!$E$33+MAX(0,MIN(B80,Inputs!$E$35)-MAX(0,C80))*Inputs!$E$36+MAX(0,MIN(B80,Inputs!$E$37)-MAX(Inputs!$E$35,C80))*Inputs!$E$38+MAX(0,MIN(B80,Inputs!$E$39)-MAX(Inputs!$E$37,C80))*Inputs!$E$40+MAX(0,B80-MAX(Inputs!$E$39,C80))*Inputs!$E$41</f>
        <v/>
      </c>
      <c r="E80" s="57">
        <f>(B80*(Inputs!$D$16-Inputs!$D$20/10000)+D80)/B80</f>
        <v/>
      </c>
      <c r="F80" s="56">
        <f>B80*Inputs!$D$20/10000+(B80/Inputs!$D$22*Inputs!$D$23+B80*Inputs!$D$25)*(Inputs!$D$13-Inputs!$D$14*E80)+Inputs!$D$27*Inputs!$D$28*Inputs!$D$29*(1+Inputs!$D$30*Inputs!$D$31/12)/Inputs!$D$31</f>
        <v/>
      </c>
      <c r="G80" s="58">
        <f>F80-D80</f>
        <v/>
      </c>
      <c r="H80" s="59">
        <f>IF(G80&gt;=0,1,0)</f>
        <v/>
      </c>
      <c r="I80" s="56">
        <f>Inputs!$E$33+MAX(0,MIN(B80,Inputs!$E$35)-MAX(0,C80))*Inputs!$E$36+MAX(0,MIN(B80,Inputs!$E$37)-MAX(Inputs!$E$35,C80))*Inputs!$E$38+MAX(0,MIN(B80,Inputs!$E$39)-MAX(Inputs!$E$37,C80))*Inputs!$E$40+MAX(0,B80-MAX(Inputs!$E$39,C80))*Inputs!$E$41</f>
        <v/>
      </c>
      <c r="J80" s="57">
        <f>(B80*(Inputs!$E$16-Inputs!$E$20/10000)+I80)/B80</f>
        <v/>
      </c>
      <c r="K80" s="56">
        <f>B80*Inputs!$E$20/10000+(B80/Inputs!$E$22*Inputs!$E$23+B80*Inputs!$E$25)*(Inputs!$E$13-Inputs!$E$14*J80)+Inputs!$E$27*Inputs!$E$28*Inputs!$E$29*(1+Inputs!$E$30*Inputs!$E$31/12)/Inputs!$E$31</f>
        <v/>
      </c>
      <c r="L80" s="58">
        <f>K80-I80</f>
        <v/>
      </c>
      <c r="M80" s="59">
        <f>IF(L80&gt;=0,1,0)</f>
        <v/>
      </c>
      <c r="N80" s="56">
        <f>Inputs!$E$33+MAX(0,MIN(B80,Inputs!$E$35)-MAX(0,C80))*Inputs!$E$36+MAX(0,MIN(B80,Inputs!$E$37)-MAX(Inputs!$E$35,C80))*Inputs!$E$38+MAX(0,MIN(B80,Inputs!$E$39)-MAX(Inputs!$E$37,C80))*Inputs!$E$40+MAX(0,B80-MAX(Inputs!$E$39,C80))*Inputs!$E$41</f>
        <v/>
      </c>
      <c r="O80" s="57">
        <f>(B80*(Inputs!$F$16-Inputs!$F$20/10000)+N80)/B80</f>
        <v/>
      </c>
      <c r="P80" s="56">
        <f>B80*Inputs!$F$20/10000+(B80/Inputs!$F$22*Inputs!$F$23+B80*Inputs!$F$25)*(Inputs!$F$13-Inputs!$F$14*O80)+Inputs!$F$27*Inputs!$F$28*Inputs!$F$29*(1+Inputs!$F$30*Inputs!$F$31/12)/Inputs!$F$31</f>
        <v/>
      </c>
      <c r="Q80" s="58">
        <f>P80-N80</f>
        <v/>
      </c>
      <c r="R80" s="59">
        <f>IF(Q80&gt;=0,1,0)</f>
        <v/>
      </c>
    </row>
    <row r="81">
      <c r="A81" s="60">
        <f>A80+5000</f>
        <v/>
      </c>
      <c r="B81" s="56">
        <f>A81*Inputs!$E$6</f>
        <v/>
      </c>
      <c r="C81" s="56">
        <f>MIN(B81,Inputs!$E$34)</f>
        <v/>
      </c>
      <c r="D81" s="56">
        <f>Inputs!$E$33+MAX(0,MIN(B81,Inputs!$E$35)-MAX(0,C81))*Inputs!$E$36+MAX(0,MIN(B81,Inputs!$E$37)-MAX(Inputs!$E$35,C81))*Inputs!$E$38+MAX(0,MIN(B81,Inputs!$E$39)-MAX(Inputs!$E$37,C81))*Inputs!$E$40+MAX(0,B81-MAX(Inputs!$E$39,C81))*Inputs!$E$41</f>
        <v/>
      </c>
      <c r="E81" s="57">
        <f>(B81*(Inputs!$D$16-Inputs!$D$20/10000)+D81)/B81</f>
        <v/>
      </c>
      <c r="F81" s="56">
        <f>B81*Inputs!$D$20/10000+(B81/Inputs!$D$22*Inputs!$D$23+B81*Inputs!$D$25)*(Inputs!$D$13-Inputs!$D$14*E81)+Inputs!$D$27*Inputs!$D$28*Inputs!$D$29*(1+Inputs!$D$30*Inputs!$D$31/12)/Inputs!$D$31</f>
        <v/>
      </c>
      <c r="G81" s="58">
        <f>F81-D81</f>
        <v/>
      </c>
      <c r="H81" s="59">
        <f>IF(G81&gt;=0,1,0)</f>
        <v/>
      </c>
      <c r="I81" s="56">
        <f>Inputs!$E$33+MAX(0,MIN(B81,Inputs!$E$35)-MAX(0,C81))*Inputs!$E$36+MAX(0,MIN(B81,Inputs!$E$37)-MAX(Inputs!$E$35,C81))*Inputs!$E$38+MAX(0,MIN(B81,Inputs!$E$39)-MAX(Inputs!$E$37,C81))*Inputs!$E$40+MAX(0,B81-MAX(Inputs!$E$39,C81))*Inputs!$E$41</f>
        <v/>
      </c>
      <c r="J81" s="57">
        <f>(B81*(Inputs!$E$16-Inputs!$E$20/10000)+I81)/B81</f>
        <v/>
      </c>
      <c r="K81" s="56">
        <f>B81*Inputs!$E$20/10000+(B81/Inputs!$E$22*Inputs!$E$23+B81*Inputs!$E$25)*(Inputs!$E$13-Inputs!$E$14*J81)+Inputs!$E$27*Inputs!$E$28*Inputs!$E$29*(1+Inputs!$E$30*Inputs!$E$31/12)/Inputs!$E$31</f>
        <v/>
      </c>
      <c r="L81" s="58">
        <f>K81-I81</f>
        <v/>
      </c>
      <c r="M81" s="59">
        <f>IF(L81&gt;=0,1,0)</f>
        <v/>
      </c>
      <c r="N81" s="56">
        <f>Inputs!$E$33+MAX(0,MIN(B81,Inputs!$E$35)-MAX(0,C81))*Inputs!$E$36+MAX(0,MIN(B81,Inputs!$E$37)-MAX(Inputs!$E$35,C81))*Inputs!$E$38+MAX(0,MIN(B81,Inputs!$E$39)-MAX(Inputs!$E$37,C81))*Inputs!$E$40+MAX(0,B81-MAX(Inputs!$E$39,C81))*Inputs!$E$41</f>
        <v/>
      </c>
      <c r="O81" s="57">
        <f>(B81*(Inputs!$F$16-Inputs!$F$20/10000)+N81)/B81</f>
        <v/>
      </c>
      <c r="P81" s="56">
        <f>B81*Inputs!$F$20/10000+(B81/Inputs!$F$22*Inputs!$F$23+B81*Inputs!$F$25)*(Inputs!$F$13-Inputs!$F$14*O81)+Inputs!$F$27*Inputs!$F$28*Inputs!$F$29*(1+Inputs!$F$30*Inputs!$F$31/12)/Inputs!$F$31</f>
        <v/>
      </c>
      <c r="Q81" s="58">
        <f>P81-N81</f>
        <v/>
      </c>
      <c r="R81" s="59">
        <f>IF(Q81&gt;=0,1,0)</f>
        <v/>
      </c>
    </row>
    <row r="82">
      <c r="A82" s="60">
        <f>A81+5000</f>
        <v/>
      </c>
      <c r="B82" s="56">
        <f>A82*Inputs!$E$6</f>
        <v/>
      </c>
      <c r="C82" s="56">
        <f>MIN(B82,Inputs!$E$34)</f>
        <v/>
      </c>
      <c r="D82" s="56">
        <f>Inputs!$E$33+MAX(0,MIN(B82,Inputs!$E$35)-MAX(0,C82))*Inputs!$E$36+MAX(0,MIN(B82,Inputs!$E$37)-MAX(Inputs!$E$35,C82))*Inputs!$E$38+MAX(0,MIN(B82,Inputs!$E$39)-MAX(Inputs!$E$37,C82))*Inputs!$E$40+MAX(0,B82-MAX(Inputs!$E$39,C82))*Inputs!$E$41</f>
        <v/>
      </c>
      <c r="E82" s="57">
        <f>(B82*(Inputs!$D$16-Inputs!$D$20/10000)+D82)/B82</f>
        <v/>
      </c>
      <c r="F82" s="56">
        <f>B82*Inputs!$D$20/10000+(B82/Inputs!$D$22*Inputs!$D$23+B82*Inputs!$D$25)*(Inputs!$D$13-Inputs!$D$14*E82)+Inputs!$D$27*Inputs!$D$28*Inputs!$D$29*(1+Inputs!$D$30*Inputs!$D$31/12)/Inputs!$D$31</f>
        <v/>
      </c>
      <c r="G82" s="58">
        <f>F82-D82</f>
        <v/>
      </c>
      <c r="H82" s="59">
        <f>IF(G82&gt;=0,1,0)</f>
        <v/>
      </c>
      <c r="I82" s="56">
        <f>Inputs!$E$33+MAX(0,MIN(B82,Inputs!$E$35)-MAX(0,C82))*Inputs!$E$36+MAX(0,MIN(B82,Inputs!$E$37)-MAX(Inputs!$E$35,C82))*Inputs!$E$38+MAX(0,MIN(B82,Inputs!$E$39)-MAX(Inputs!$E$37,C82))*Inputs!$E$40+MAX(0,B82-MAX(Inputs!$E$39,C82))*Inputs!$E$41</f>
        <v/>
      </c>
      <c r="J82" s="57">
        <f>(B82*(Inputs!$E$16-Inputs!$E$20/10000)+I82)/B82</f>
        <v/>
      </c>
      <c r="K82" s="56">
        <f>B82*Inputs!$E$20/10000+(B82/Inputs!$E$22*Inputs!$E$23+B82*Inputs!$E$25)*(Inputs!$E$13-Inputs!$E$14*J82)+Inputs!$E$27*Inputs!$E$28*Inputs!$E$29*(1+Inputs!$E$30*Inputs!$E$31/12)/Inputs!$E$31</f>
        <v/>
      </c>
      <c r="L82" s="58">
        <f>K82-I82</f>
        <v/>
      </c>
      <c r="M82" s="59">
        <f>IF(L82&gt;=0,1,0)</f>
        <v/>
      </c>
      <c r="N82" s="56">
        <f>Inputs!$E$33+MAX(0,MIN(B82,Inputs!$E$35)-MAX(0,C82))*Inputs!$E$36+MAX(0,MIN(B82,Inputs!$E$37)-MAX(Inputs!$E$35,C82))*Inputs!$E$38+MAX(0,MIN(B82,Inputs!$E$39)-MAX(Inputs!$E$37,C82))*Inputs!$E$40+MAX(0,B82-MAX(Inputs!$E$39,C82))*Inputs!$E$41</f>
        <v/>
      </c>
      <c r="O82" s="57">
        <f>(B82*(Inputs!$F$16-Inputs!$F$20/10000)+N82)/B82</f>
        <v/>
      </c>
      <c r="P82" s="56">
        <f>B82*Inputs!$F$20/10000+(B82/Inputs!$F$22*Inputs!$F$23+B82*Inputs!$F$25)*(Inputs!$F$13-Inputs!$F$14*O82)+Inputs!$F$27*Inputs!$F$28*Inputs!$F$29*(1+Inputs!$F$30*Inputs!$F$31/12)/Inputs!$F$31</f>
        <v/>
      </c>
      <c r="Q82" s="58">
        <f>P82-N82</f>
        <v/>
      </c>
      <c r="R82" s="59">
        <f>IF(Q82&gt;=0,1,0)</f>
        <v/>
      </c>
    </row>
    <row r="83">
      <c r="A83" s="60">
        <f>A82+5000</f>
        <v/>
      </c>
      <c r="B83" s="56">
        <f>A83*Inputs!$E$6</f>
        <v/>
      </c>
      <c r="C83" s="56">
        <f>MIN(B83,Inputs!$E$34)</f>
        <v/>
      </c>
      <c r="D83" s="56">
        <f>Inputs!$E$33+MAX(0,MIN(B83,Inputs!$E$35)-MAX(0,C83))*Inputs!$E$36+MAX(0,MIN(B83,Inputs!$E$37)-MAX(Inputs!$E$35,C83))*Inputs!$E$38+MAX(0,MIN(B83,Inputs!$E$39)-MAX(Inputs!$E$37,C83))*Inputs!$E$40+MAX(0,B83-MAX(Inputs!$E$39,C83))*Inputs!$E$41</f>
        <v/>
      </c>
      <c r="E83" s="57">
        <f>(B83*(Inputs!$D$16-Inputs!$D$20/10000)+D83)/B83</f>
        <v/>
      </c>
      <c r="F83" s="56">
        <f>B83*Inputs!$D$20/10000+(B83/Inputs!$D$22*Inputs!$D$23+B83*Inputs!$D$25)*(Inputs!$D$13-Inputs!$D$14*E83)+Inputs!$D$27*Inputs!$D$28*Inputs!$D$29*(1+Inputs!$D$30*Inputs!$D$31/12)/Inputs!$D$31</f>
        <v/>
      </c>
      <c r="G83" s="58">
        <f>F83-D83</f>
        <v/>
      </c>
      <c r="H83" s="59">
        <f>IF(G83&gt;=0,1,0)</f>
        <v/>
      </c>
      <c r="I83" s="56">
        <f>Inputs!$E$33+MAX(0,MIN(B83,Inputs!$E$35)-MAX(0,C83))*Inputs!$E$36+MAX(0,MIN(B83,Inputs!$E$37)-MAX(Inputs!$E$35,C83))*Inputs!$E$38+MAX(0,MIN(B83,Inputs!$E$39)-MAX(Inputs!$E$37,C83))*Inputs!$E$40+MAX(0,B83-MAX(Inputs!$E$39,C83))*Inputs!$E$41</f>
        <v/>
      </c>
      <c r="J83" s="57">
        <f>(B83*(Inputs!$E$16-Inputs!$E$20/10000)+I83)/B83</f>
        <v/>
      </c>
      <c r="K83" s="56">
        <f>B83*Inputs!$E$20/10000+(B83/Inputs!$E$22*Inputs!$E$23+B83*Inputs!$E$25)*(Inputs!$E$13-Inputs!$E$14*J83)+Inputs!$E$27*Inputs!$E$28*Inputs!$E$29*(1+Inputs!$E$30*Inputs!$E$31/12)/Inputs!$E$31</f>
        <v/>
      </c>
      <c r="L83" s="58">
        <f>K83-I83</f>
        <v/>
      </c>
      <c r="M83" s="59">
        <f>IF(L83&gt;=0,1,0)</f>
        <v/>
      </c>
      <c r="N83" s="56">
        <f>Inputs!$E$33+MAX(0,MIN(B83,Inputs!$E$35)-MAX(0,C83))*Inputs!$E$36+MAX(0,MIN(B83,Inputs!$E$37)-MAX(Inputs!$E$35,C83))*Inputs!$E$38+MAX(0,MIN(B83,Inputs!$E$39)-MAX(Inputs!$E$37,C83))*Inputs!$E$40+MAX(0,B83-MAX(Inputs!$E$39,C83))*Inputs!$E$41</f>
        <v/>
      </c>
      <c r="O83" s="57">
        <f>(B83*(Inputs!$F$16-Inputs!$F$20/10000)+N83)/B83</f>
        <v/>
      </c>
      <c r="P83" s="56">
        <f>B83*Inputs!$F$20/10000+(B83/Inputs!$F$22*Inputs!$F$23+B83*Inputs!$F$25)*(Inputs!$F$13-Inputs!$F$14*O83)+Inputs!$F$27*Inputs!$F$28*Inputs!$F$29*(1+Inputs!$F$30*Inputs!$F$31/12)/Inputs!$F$31</f>
        <v/>
      </c>
      <c r="Q83" s="58">
        <f>P83-N83</f>
        <v/>
      </c>
      <c r="R83" s="59">
        <f>IF(Q83&gt;=0,1,0)</f>
        <v/>
      </c>
    </row>
    <row r="84">
      <c r="A84" s="60">
        <f>A83+5000</f>
        <v/>
      </c>
      <c r="B84" s="56">
        <f>A84*Inputs!$E$6</f>
        <v/>
      </c>
      <c r="C84" s="56">
        <f>MIN(B84,Inputs!$E$34)</f>
        <v/>
      </c>
      <c r="D84" s="56">
        <f>Inputs!$E$33+MAX(0,MIN(B84,Inputs!$E$35)-MAX(0,C84))*Inputs!$E$36+MAX(0,MIN(B84,Inputs!$E$37)-MAX(Inputs!$E$35,C84))*Inputs!$E$38+MAX(0,MIN(B84,Inputs!$E$39)-MAX(Inputs!$E$37,C84))*Inputs!$E$40+MAX(0,B84-MAX(Inputs!$E$39,C84))*Inputs!$E$41</f>
        <v/>
      </c>
      <c r="E84" s="57">
        <f>(B84*(Inputs!$D$16-Inputs!$D$20/10000)+D84)/B84</f>
        <v/>
      </c>
      <c r="F84" s="56">
        <f>B84*Inputs!$D$20/10000+(B84/Inputs!$D$22*Inputs!$D$23+B84*Inputs!$D$25)*(Inputs!$D$13-Inputs!$D$14*E84)+Inputs!$D$27*Inputs!$D$28*Inputs!$D$29*(1+Inputs!$D$30*Inputs!$D$31/12)/Inputs!$D$31</f>
        <v/>
      </c>
      <c r="G84" s="58">
        <f>F84-D84</f>
        <v/>
      </c>
      <c r="H84" s="59">
        <f>IF(G84&gt;=0,1,0)</f>
        <v/>
      </c>
      <c r="I84" s="56">
        <f>Inputs!$E$33+MAX(0,MIN(B84,Inputs!$E$35)-MAX(0,C84))*Inputs!$E$36+MAX(0,MIN(B84,Inputs!$E$37)-MAX(Inputs!$E$35,C84))*Inputs!$E$38+MAX(0,MIN(B84,Inputs!$E$39)-MAX(Inputs!$E$37,C84))*Inputs!$E$40+MAX(0,B84-MAX(Inputs!$E$39,C84))*Inputs!$E$41</f>
        <v/>
      </c>
      <c r="J84" s="57">
        <f>(B84*(Inputs!$E$16-Inputs!$E$20/10000)+I84)/B84</f>
        <v/>
      </c>
      <c r="K84" s="56">
        <f>B84*Inputs!$E$20/10000+(B84/Inputs!$E$22*Inputs!$E$23+B84*Inputs!$E$25)*(Inputs!$E$13-Inputs!$E$14*J84)+Inputs!$E$27*Inputs!$E$28*Inputs!$E$29*(1+Inputs!$E$30*Inputs!$E$31/12)/Inputs!$E$31</f>
        <v/>
      </c>
      <c r="L84" s="58">
        <f>K84-I84</f>
        <v/>
      </c>
      <c r="M84" s="59">
        <f>IF(L84&gt;=0,1,0)</f>
        <v/>
      </c>
      <c r="N84" s="56">
        <f>Inputs!$E$33+MAX(0,MIN(B84,Inputs!$E$35)-MAX(0,C84))*Inputs!$E$36+MAX(0,MIN(B84,Inputs!$E$37)-MAX(Inputs!$E$35,C84))*Inputs!$E$38+MAX(0,MIN(B84,Inputs!$E$39)-MAX(Inputs!$E$37,C84))*Inputs!$E$40+MAX(0,B84-MAX(Inputs!$E$39,C84))*Inputs!$E$41</f>
        <v/>
      </c>
      <c r="O84" s="57">
        <f>(B84*(Inputs!$F$16-Inputs!$F$20/10000)+N84)/B84</f>
        <v/>
      </c>
      <c r="P84" s="56">
        <f>B84*Inputs!$F$20/10000+(B84/Inputs!$F$22*Inputs!$F$23+B84*Inputs!$F$25)*(Inputs!$F$13-Inputs!$F$14*O84)+Inputs!$F$27*Inputs!$F$28*Inputs!$F$29*(1+Inputs!$F$30*Inputs!$F$31/12)/Inputs!$F$31</f>
        <v/>
      </c>
      <c r="Q84" s="58">
        <f>P84-N84</f>
        <v/>
      </c>
      <c r="R84" s="59">
        <f>IF(Q84&gt;=0,1,0)</f>
        <v/>
      </c>
    </row>
    <row r="85">
      <c r="A85" s="60">
        <f>A84+5000</f>
        <v/>
      </c>
      <c r="B85" s="56">
        <f>A85*Inputs!$E$6</f>
        <v/>
      </c>
      <c r="C85" s="56">
        <f>MIN(B85,Inputs!$E$34)</f>
        <v/>
      </c>
      <c r="D85" s="56">
        <f>Inputs!$E$33+MAX(0,MIN(B85,Inputs!$E$35)-MAX(0,C85))*Inputs!$E$36+MAX(0,MIN(B85,Inputs!$E$37)-MAX(Inputs!$E$35,C85))*Inputs!$E$38+MAX(0,MIN(B85,Inputs!$E$39)-MAX(Inputs!$E$37,C85))*Inputs!$E$40+MAX(0,B85-MAX(Inputs!$E$39,C85))*Inputs!$E$41</f>
        <v/>
      </c>
      <c r="E85" s="57">
        <f>(B85*(Inputs!$D$16-Inputs!$D$20/10000)+D85)/B85</f>
        <v/>
      </c>
      <c r="F85" s="56">
        <f>B85*Inputs!$D$20/10000+(B85/Inputs!$D$22*Inputs!$D$23+B85*Inputs!$D$25)*(Inputs!$D$13-Inputs!$D$14*E85)+Inputs!$D$27*Inputs!$D$28*Inputs!$D$29*(1+Inputs!$D$30*Inputs!$D$31/12)/Inputs!$D$31</f>
        <v/>
      </c>
      <c r="G85" s="58">
        <f>F85-D85</f>
        <v/>
      </c>
      <c r="H85" s="59">
        <f>IF(G85&gt;=0,1,0)</f>
        <v/>
      </c>
      <c r="I85" s="56">
        <f>Inputs!$E$33+MAX(0,MIN(B85,Inputs!$E$35)-MAX(0,C85))*Inputs!$E$36+MAX(0,MIN(B85,Inputs!$E$37)-MAX(Inputs!$E$35,C85))*Inputs!$E$38+MAX(0,MIN(B85,Inputs!$E$39)-MAX(Inputs!$E$37,C85))*Inputs!$E$40+MAX(0,B85-MAX(Inputs!$E$39,C85))*Inputs!$E$41</f>
        <v/>
      </c>
      <c r="J85" s="57">
        <f>(B85*(Inputs!$E$16-Inputs!$E$20/10000)+I85)/B85</f>
        <v/>
      </c>
      <c r="K85" s="56">
        <f>B85*Inputs!$E$20/10000+(B85/Inputs!$E$22*Inputs!$E$23+B85*Inputs!$E$25)*(Inputs!$E$13-Inputs!$E$14*J85)+Inputs!$E$27*Inputs!$E$28*Inputs!$E$29*(1+Inputs!$E$30*Inputs!$E$31/12)/Inputs!$E$31</f>
        <v/>
      </c>
      <c r="L85" s="58">
        <f>K85-I85</f>
        <v/>
      </c>
      <c r="M85" s="59">
        <f>IF(L85&gt;=0,1,0)</f>
        <v/>
      </c>
      <c r="N85" s="56">
        <f>Inputs!$E$33+MAX(0,MIN(B85,Inputs!$E$35)-MAX(0,C85))*Inputs!$E$36+MAX(0,MIN(B85,Inputs!$E$37)-MAX(Inputs!$E$35,C85))*Inputs!$E$38+MAX(0,MIN(B85,Inputs!$E$39)-MAX(Inputs!$E$37,C85))*Inputs!$E$40+MAX(0,B85-MAX(Inputs!$E$39,C85))*Inputs!$E$41</f>
        <v/>
      </c>
      <c r="O85" s="57">
        <f>(B85*(Inputs!$F$16-Inputs!$F$20/10000)+N85)/B85</f>
        <v/>
      </c>
      <c r="P85" s="56">
        <f>B85*Inputs!$F$20/10000+(B85/Inputs!$F$22*Inputs!$F$23+B85*Inputs!$F$25)*(Inputs!$F$13-Inputs!$F$14*O85)+Inputs!$F$27*Inputs!$F$28*Inputs!$F$29*(1+Inputs!$F$30*Inputs!$F$31/12)/Inputs!$F$31</f>
        <v/>
      </c>
      <c r="Q85" s="58">
        <f>P85-N85</f>
        <v/>
      </c>
      <c r="R85" s="59">
        <f>IF(Q85&gt;=0,1,0)</f>
        <v/>
      </c>
    </row>
    <row r="86">
      <c r="A86" s="60">
        <f>A85+5000</f>
        <v/>
      </c>
      <c r="B86" s="56">
        <f>A86*Inputs!$E$6</f>
        <v/>
      </c>
      <c r="C86" s="56">
        <f>MIN(B86,Inputs!$E$34)</f>
        <v/>
      </c>
      <c r="D86" s="56">
        <f>Inputs!$E$33+MAX(0,MIN(B86,Inputs!$E$35)-MAX(0,C86))*Inputs!$E$36+MAX(0,MIN(B86,Inputs!$E$37)-MAX(Inputs!$E$35,C86))*Inputs!$E$38+MAX(0,MIN(B86,Inputs!$E$39)-MAX(Inputs!$E$37,C86))*Inputs!$E$40+MAX(0,B86-MAX(Inputs!$E$39,C86))*Inputs!$E$41</f>
        <v/>
      </c>
      <c r="E86" s="57">
        <f>(B86*(Inputs!$D$16-Inputs!$D$20/10000)+D86)/B86</f>
        <v/>
      </c>
      <c r="F86" s="56">
        <f>B86*Inputs!$D$20/10000+(B86/Inputs!$D$22*Inputs!$D$23+B86*Inputs!$D$25)*(Inputs!$D$13-Inputs!$D$14*E86)+Inputs!$D$27*Inputs!$D$28*Inputs!$D$29*(1+Inputs!$D$30*Inputs!$D$31/12)/Inputs!$D$31</f>
        <v/>
      </c>
      <c r="G86" s="58">
        <f>F86-D86</f>
        <v/>
      </c>
      <c r="H86" s="59">
        <f>IF(G86&gt;=0,1,0)</f>
        <v/>
      </c>
      <c r="I86" s="56">
        <f>Inputs!$E$33+MAX(0,MIN(B86,Inputs!$E$35)-MAX(0,C86))*Inputs!$E$36+MAX(0,MIN(B86,Inputs!$E$37)-MAX(Inputs!$E$35,C86))*Inputs!$E$38+MAX(0,MIN(B86,Inputs!$E$39)-MAX(Inputs!$E$37,C86))*Inputs!$E$40+MAX(0,B86-MAX(Inputs!$E$39,C86))*Inputs!$E$41</f>
        <v/>
      </c>
      <c r="J86" s="57">
        <f>(B86*(Inputs!$E$16-Inputs!$E$20/10000)+I86)/B86</f>
        <v/>
      </c>
      <c r="K86" s="56">
        <f>B86*Inputs!$E$20/10000+(B86/Inputs!$E$22*Inputs!$E$23+B86*Inputs!$E$25)*(Inputs!$E$13-Inputs!$E$14*J86)+Inputs!$E$27*Inputs!$E$28*Inputs!$E$29*(1+Inputs!$E$30*Inputs!$E$31/12)/Inputs!$E$31</f>
        <v/>
      </c>
      <c r="L86" s="58">
        <f>K86-I86</f>
        <v/>
      </c>
      <c r="M86" s="59">
        <f>IF(L86&gt;=0,1,0)</f>
        <v/>
      </c>
      <c r="N86" s="56">
        <f>Inputs!$E$33+MAX(0,MIN(B86,Inputs!$E$35)-MAX(0,C86))*Inputs!$E$36+MAX(0,MIN(B86,Inputs!$E$37)-MAX(Inputs!$E$35,C86))*Inputs!$E$38+MAX(0,MIN(B86,Inputs!$E$39)-MAX(Inputs!$E$37,C86))*Inputs!$E$40+MAX(0,B86-MAX(Inputs!$E$39,C86))*Inputs!$E$41</f>
        <v/>
      </c>
      <c r="O86" s="57">
        <f>(B86*(Inputs!$F$16-Inputs!$F$20/10000)+N86)/B86</f>
        <v/>
      </c>
      <c r="P86" s="56">
        <f>B86*Inputs!$F$20/10000+(B86/Inputs!$F$22*Inputs!$F$23+B86*Inputs!$F$25)*(Inputs!$F$13-Inputs!$F$14*O86)+Inputs!$F$27*Inputs!$F$28*Inputs!$F$29*(1+Inputs!$F$30*Inputs!$F$31/12)/Inputs!$F$31</f>
        <v/>
      </c>
      <c r="Q86" s="58">
        <f>P86-N86</f>
        <v/>
      </c>
      <c r="R86" s="59">
        <f>IF(Q86&gt;=0,1,0)</f>
        <v/>
      </c>
    </row>
    <row r="87">
      <c r="A87" s="60">
        <f>A86+5000</f>
        <v/>
      </c>
      <c r="B87" s="56">
        <f>A87*Inputs!$E$6</f>
        <v/>
      </c>
      <c r="C87" s="56">
        <f>MIN(B87,Inputs!$E$34)</f>
        <v/>
      </c>
      <c r="D87" s="56">
        <f>Inputs!$E$33+MAX(0,MIN(B87,Inputs!$E$35)-MAX(0,C87))*Inputs!$E$36+MAX(0,MIN(B87,Inputs!$E$37)-MAX(Inputs!$E$35,C87))*Inputs!$E$38+MAX(0,MIN(B87,Inputs!$E$39)-MAX(Inputs!$E$37,C87))*Inputs!$E$40+MAX(0,B87-MAX(Inputs!$E$39,C87))*Inputs!$E$41</f>
        <v/>
      </c>
      <c r="E87" s="57">
        <f>(B87*(Inputs!$D$16-Inputs!$D$20/10000)+D87)/B87</f>
        <v/>
      </c>
      <c r="F87" s="56">
        <f>B87*Inputs!$D$20/10000+(B87/Inputs!$D$22*Inputs!$D$23+B87*Inputs!$D$25)*(Inputs!$D$13-Inputs!$D$14*E87)+Inputs!$D$27*Inputs!$D$28*Inputs!$D$29*(1+Inputs!$D$30*Inputs!$D$31/12)/Inputs!$D$31</f>
        <v/>
      </c>
      <c r="G87" s="58">
        <f>F87-D87</f>
        <v/>
      </c>
      <c r="H87" s="59">
        <f>IF(G87&gt;=0,1,0)</f>
        <v/>
      </c>
      <c r="I87" s="56">
        <f>Inputs!$E$33+MAX(0,MIN(B87,Inputs!$E$35)-MAX(0,C87))*Inputs!$E$36+MAX(0,MIN(B87,Inputs!$E$37)-MAX(Inputs!$E$35,C87))*Inputs!$E$38+MAX(0,MIN(B87,Inputs!$E$39)-MAX(Inputs!$E$37,C87))*Inputs!$E$40+MAX(0,B87-MAX(Inputs!$E$39,C87))*Inputs!$E$41</f>
        <v/>
      </c>
      <c r="J87" s="57">
        <f>(B87*(Inputs!$E$16-Inputs!$E$20/10000)+I87)/B87</f>
        <v/>
      </c>
      <c r="K87" s="56">
        <f>B87*Inputs!$E$20/10000+(B87/Inputs!$E$22*Inputs!$E$23+B87*Inputs!$E$25)*(Inputs!$E$13-Inputs!$E$14*J87)+Inputs!$E$27*Inputs!$E$28*Inputs!$E$29*(1+Inputs!$E$30*Inputs!$E$31/12)/Inputs!$E$31</f>
        <v/>
      </c>
      <c r="L87" s="58">
        <f>K87-I87</f>
        <v/>
      </c>
      <c r="M87" s="59">
        <f>IF(L87&gt;=0,1,0)</f>
        <v/>
      </c>
      <c r="N87" s="56">
        <f>Inputs!$E$33+MAX(0,MIN(B87,Inputs!$E$35)-MAX(0,C87))*Inputs!$E$36+MAX(0,MIN(B87,Inputs!$E$37)-MAX(Inputs!$E$35,C87))*Inputs!$E$38+MAX(0,MIN(B87,Inputs!$E$39)-MAX(Inputs!$E$37,C87))*Inputs!$E$40+MAX(0,B87-MAX(Inputs!$E$39,C87))*Inputs!$E$41</f>
        <v/>
      </c>
      <c r="O87" s="57">
        <f>(B87*(Inputs!$F$16-Inputs!$F$20/10000)+N87)/B87</f>
        <v/>
      </c>
      <c r="P87" s="56">
        <f>B87*Inputs!$F$20/10000+(B87/Inputs!$F$22*Inputs!$F$23+B87*Inputs!$F$25)*(Inputs!$F$13-Inputs!$F$14*O87)+Inputs!$F$27*Inputs!$F$28*Inputs!$F$29*(1+Inputs!$F$30*Inputs!$F$31/12)/Inputs!$F$31</f>
        <v/>
      </c>
      <c r="Q87" s="58">
        <f>P87-N87</f>
        <v/>
      </c>
      <c r="R87" s="59">
        <f>IF(Q87&gt;=0,1,0)</f>
        <v/>
      </c>
    </row>
    <row r="88">
      <c r="A88" s="60">
        <f>A87+5000</f>
        <v/>
      </c>
      <c r="B88" s="56">
        <f>A88*Inputs!$E$6</f>
        <v/>
      </c>
      <c r="C88" s="56">
        <f>MIN(B88,Inputs!$E$34)</f>
        <v/>
      </c>
      <c r="D88" s="56">
        <f>Inputs!$E$33+MAX(0,MIN(B88,Inputs!$E$35)-MAX(0,C88))*Inputs!$E$36+MAX(0,MIN(B88,Inputs!$E$37)-MAX(Inputs!$E$35,C88))*Inputs!$E$38+MAX(0,MIN(B88,Inputs!$E$39)-MAX(Inputs!$E$37,C88))*Inputs!$E$40+MAX(0,B88-MAX(Inputs!$E$39,C88))*Inputs!$E$41</f>
        <v/>
      </c>
      <c r="E88" s="57">
        <f>(B88*(Inputs!$D$16-Inputs!$D$20/10000)+D88)/B88</f>
        <v/>
      </c>
      <c r="F88" s="56">
        <f>B88*Inputs!$D$20/10000+(B88/Inputs!$D$22*Inputs!$D$23+B88*Inputs!$D$25)*(Inputs!$D$13-Inputs!$D$14*E88)+Inputs!$D$27*Inputs!$D$28*Inputs!$D$29*(1+Inputs!$D$30*Inputs!$D$31/12)/Inputs!$D$31</f>
        <v/>
      </c>
      <c r="G88" s="58">
        <f>F88-D88</f>
        <v/>
      </c>
      <c r="H88" s="59">
        <f>IF(G88&gt;=0,1,0)</f>
        <v/>
      </c>
      <c r="I88" s="56">
        <f>Inputs!$E$33+MAX(0,MIN(B88,Inputs!$E$35)-MAX(0,C88))*Inputs!$E$36+MAX(0,MIN(B88,Inputs!$E$37)-MAX(Inputs!$E$35,C88))*Inputs!$E$38+MAX(0,MIN(B88,Inputs!$E$39)-MAX(Inputs!$E$37,C88))*Inputs!$E$40+MAX(0,B88-MAX(Inputs!$E$39,C88))*Inputs!$E$41</f>
        <v/>
      </c>
      <c r="J88" s="57">
        <f>(B88*(Inputs!$E$16-Inputs!$E$20/10000)+I88)/B88</f>
        <v/>
      </c>
      <c r="K88" s="56">
        <f>B88*Inputs!$E$20/10000+(B88/Inputs!$E$22*Inputs!$E$23+B88*Inputs!$E$25)*(Inputs!$E$13-Inputs!$E$14*J88)+Inputs!$E$27*Inputs!$E$28*Inputs!$E$29*(1+Inputs!$E$30*Inputs!$E$31/12)/Inputs!$E$31</f>
        <v/>
      </c>
      <c r="L88" s="58">
        <f>K88-I88</f>
        <v/>
      </c>
      <c r="M88" s="59">
        <f>IF(L88&gt;=0,1,0)</f>
        <v/>
      </c>
      <c r="N88" s="56">
        <f>Inputs!$E$33+MAX(0,MIN(B88,Inputs!$E$35)-MAX(0,C88))*Inputs!$E$36+MAX(0,MIN(B88,Inputs!$E$37)-MAX(Inputs!$E$35,C88))*Inputs!$E$38+MAX(0,MIN(B88,Inputs!$E$39)-MAX(Inputs!$E$37,C88))*Inputs!$E$40+MAX(0,B88-MAX(Inputs!$E$39,C88))*Inputs!$E$41</f>
        <v/>
      </c>
      <c r="O88" s="57">
        <f>(B88*(Inputs!$F$16-Inputs!$F$20/10000)+N88)/B88</f>
        <v/>
      </c>
      <c r="P88" s="56">
        <f>B88*Inputs!$F$20/10000+(B88/Inputs!$F$22*Inputs!$F$23+B88*Inputs!$F$25)*(Inputs!$F$13-Inputs!$F$14*O88)+Inputs!$F$27*Inputs!$F$28*Inputs!$F$29*(1+Inputs!$F$30*Inputs!$F$31/12)/Inputs!$F$31</f>
        <v/>
      </c>
      <c r="Q88" s="58">
        <f>P88-N88</f>
        <v/>
      </c>
      <c r="R88" s="59">
        <f>IF(Q88&gt;=0,1,0)</f>
        <v/>
      </c>
    </row>
    <row r="89">
      <c r="A89" s="60">
        <f>A88+5000</f>
        <v/>
      </c>
      <c r="B89" s="56">
        <f>A89*Inputs!$E$6</f>
        <v/>
      </c>
      <c r="C89" s="56">
        <f>MIN(B89,Inputs!$E$34)</f>
        <v/>
      </c>
      <c r="D89" s="56">
        <f>Inputs!$E$33+MAX(0,MIN(B89,Inputs!$E$35)-MAX(0,C89))*Inputs!$E$36+MAX(0,MIN(B89,Inputs!$E$37)-MAX(Inputs!$E$35,C89))*Inputs!$E$38+MAX(0,MIN(B89,Inputs!$E$39)-MAX(Inputs!$E$37,C89))*Inputs!$E$40+MAX(0,B89-MAX(Inputs!$E$39,C89))*Inputs!$E$41</f>
        <v/>
      </c>
      <c r="E89" s="57">
        <f>(B89*(Inputs!$D$16-Inputs!$D$20/10000)+D89)/B89</f>
        <v/>
      </c>
      <c r="F89" s="56">
        <f>B89*Inputs!$D$20/10000+(B89/Inputs!$D$22*Inputs!$D$23+B89*Inputs!$D$25)*(Inputs!$D$13-Inputs!$D$14*E89)+Inputs!$D$27*Inputs!$D$28*Inputs!$D$29*(1+Inputs!$D$30*Inputs!$D$31/12)/Inputs!$D$31</f>
        <v/>
      </c>
      <c r="G89" s="58">
        <f>F89-D89</f>
        <v/>
      </c>
      <c r="H89" s="59">
        <f>IF(G89&gt;=0,1,0)</f>
        <v/>
      </c>
      <c r="I89" s="56">
        <f>Inputs!$E$33+MAX(0,MIN(B89,Inputs!$E$35)-MAX(0,C89))*Inputs!$E$36+MAX(0,MIN(B89,Inputs!$E$37)-MAX(Inputs!$E$35,C89))*Inputs!$E$38+MAX(0,MIN(B89,Inputs!$E$39)-MAX(Inputs!$E$37,C89))*Inputs!$E$40+MAX(0,B89-MAX(Inputs!$E$39,C89))*Inputs!$E$41</f>
        <v/>
      </c>
      <c r="J89" s="57">
        <f>(B89*(Inputs!$E$16-Inputs!$E$20/10000)+I89)/B89</f>
        <v/>
      </c>
      <c r="K89" s="56">
        <f>B89*Inputs!$E$20/10000+(B89/Inputs!$E$22*Inputs!$E$23+B89*Inputs!$E$25)*(Inputs!$E$13-Inputs!$E$14*J89)+Inputs!$E$27*Inputs!$E$28*Inputs!$E$29*(1+Inputs!$E$30*Inputs!$E$31/12)/Inputs!$E$31</f>
        <v/>
      </c>
      <c r="L89" s="58">
        <f>K89-I89</f>
        <v/>
      </c>
      <c r="M89" s="59">
        <f>IF(L89&gt;=0,1,0)</f>
        <v/>
      </c>
      <c r="N89" s="56">
        <f>Inputs!$E$33+MAX(0,MIN(B89,Inputs!$E$35)-MAX(0,C89))*Inputs!$E$36+MAX(0,MIN(B89,Inputs!$E$37)-MAX(Inputs!$E$35,C89))*Inputs!$E$38+MAX(0,MIN(B89,Inputs!$E$39)-MAX(Inputs!$E$37,C89))*Inputs!$E$40+MAX(0,B89-MAX(Inputs!$E$39,C89))*Inputs!$E$41</f>
        <v/>
      </c>
      <c r="O89" s="57">
        <f>(B89*(Inputs!$F$16-Inputs!$F$20/10000)+N89)/B89</f>
        <v/>
      </c>
      <c r="P89" s="56">
        <f>B89*Inputs!$F$20/10000+(B89/Inputs!$F$22*Inputs!$F$23+B89*Inputs!$F$25)*(Inputs!$F$13-Inputs!$F$14*O89)+Inputs!$F$27*Inputs!$F$28*Inputs!$F$29*(1+Inputs!$F$30*Inputs!$F$31/12)/Inputs!$F$31</f>
        <v/>
      </c>
      <c r="Q89" s="58">
        <f>P89-N89</f>
        <v/>
      </c>
      <c r="R89" s="59">
        <f>IF(Q89&gt;=0,1,0)</f>
        <v/>
      </c>
    </row>
    <row r="90">
      <c r="A90" s="60">
        <f>A89+5000</f>
        <v/>
      </c>
      <c r="B90" s="56">
        <f>A90*Inputs!$E$6</f>
        <v/>
      </c>
      <c r="C90" s="56">
        <f>MIN(B90,Inputs!$E$34)</f>
        <v/>
      </c>
      <c r="D90" s="56">
        <f>Inputs!$E$33+MAX(0,MIN(B90,Inputs!$E$35)-MAX(0,C90))*Inputs!$E$36+MAX(0,MIN(B90,Inputs!$E$37)-MAX(Inputs!$E$35,C90))*Inputs!$E$38+MAX(0,MIN(B90,Inputs!$E$39)-MAX(Inputs!$E$37,C90))*Inputs!$E$40+MAX(0,B90-MAX(Inputs!$E$39,C90))*Inputs!$E$41</f>
        <v/>
      </c>
      <c r="E90" s="57">
        <f>(B90*(Inputs!$D$16-Inputs!$D$20/10000)+D90)/B90</f>
        <v/>
      </c>
      <c r="F90" s="56">
        <f>B90*Inputs!$D$20/10000+(B90/Inputs!$D$22*Inputs!$D$23+B90*Inputs!$D$25)*(Inputs!$D$13-Inputs!$D$14*E90)+Inputs!$D$27*Inputs!$D$28*Inputs!$D$29*(1+Inputs!$D$30*Inputs!$D$31/12)/Inputs!$D$31</f>
        <v/>
      </c>
      <c r="G90" s="58">
        <f>F90-D90</f>
        <v/>
      </c>
      <c r="H90" s="59">
        <f>IF(G90&gt;=0,1,0)</f>
        <v/>
      </c>
      <c r="I90" s="56">
        <f>Inputs!$E$33+MAX(0,MIN(B90,Inputs!$E$35)-MAX(0,C90))*Inputs!$E$36+MAX(0,MIN(B90,Inputs!$E$37)-MAX(Inputs!$E$35,C90))*Inputs!$E$38+MAX(0,MIN(B90,Inputs!$E$39)-MAX(Inputs!$E$37,C90))*Inputs!$E$40+MAX(0,B90-MAX(Inputs!$E$39,C90))*Inputs!$E$41</f>
        <v/>
      </c>
      <c r="J90" s="57">
        <f>(B90*(Inputs!$E$16-Inputs!$E$20/10000)+I90)/B90</f>
        <v/>
      </c>
      <c r="K90" s="56">
        <f>B90*Inputs!$E$20/10000+(B90/Inputs!$E$22*Inputs!$E$23+B90*Inputs!$E$25)*(Inputs!$E$13-Inputs!$E$14*J90)+Inputs!$E$27*Inputs!$E$28*Inputs!$E$29*(1+Inputs!$E$30*Inputs!$E$31/12)/Inputs!$E$31</f>
        <v/>
      </c>
      <c r="L90" s="58">
        <f>K90-I90</f>
        <v/>
      </c>
      <c r="M90" s="59">
        <f>IF(L90&gt;=0,1,0)</f>
        <v/>
      </c>
      <c r="N90" s="56">
        <f>Inputs!$E$33+MAX(0,MIN(B90,Inputs!$E$35)-MAX(0,C90))*Inputs!$E$36+MAX(0,MIN(B90,Inputs!$E$37)-MAX(Inputs!$E$35,C90))*Inputs!$E$38+MAX(0,MIN(B90,Inputs!$E$39)-MAX(Inputs!$E$37,C90))*Inputs!$E$40+MAX(0,B90-MAX(Inputs!$E$39,C90))*Inputs!$E$41</f>
        <v/>
      </c>
      <c r="O90" s="57">
        <f>(B90*(Inputs!$F$16-Inputs!$F$20/10000)+N90)/B90</f>
        <v/>
      </c>
      <c r="P90" s="56">
        <f>B90*Inputs!$F$20/10000+(B90/Inputs!$F$22*Inputs!$F$23+B90*Inputs!$F$25)*(Inputs!$F$13-Inputs!$F$14*O90)+Inputs!$F$27*Inputs!$F$28*Inputs!$F$29*(1+Inputs!$F$30*Inputs!$F$31/12)/Inputs!$F$31</f>
        <v/>
      </c>
      <c r="Q90" s="58">
        <f>P90-N90</f>
        <v/>
      </c>
      <c r="R90" s="59">
        <f>IF(Q90&gt;=0,1,0)</f>
        <v/>
      </c>
    </row>
    <row r="91">
      <c r="A91" s="60">
        <f>A90+5000</f>
        <v/>
      </c>
      <c r="B91" s="56">
        <f>A91*Inputs!$E$6</f>
        <v/>
      </c>
      <c r="C91" s="56">
        <f>MIN(B91,Inputs!$E$34)</f>
        <v/>
      </c>
      <c r="D91" s="56">
        <f>Inputs!$E$33+MAX(0,MIN(B91,Inputs!$E$35)-MAX(0,C91))*Inputs!$E$36+MAX(0,MIN(B91,Inputs!$E$37)-MAX(Inputs!$E$35,C91))*Inputs!$E$38+MAX(0,MIN(B91,Inputs!$E$39)-MAX(Inputs!$E$37,C91))*Inputs!$E$40+MAX(0,B91-MAX(Inputs!$E$39,C91))*Inputs!$E$41</f>
        <v/>
      </c>
      <c r="E91" s="57">
        <f>(B91*(Inputs!$D$16-Inputs!$D$20/10000)+D91)/B91</f>
        <v/>
      </c>
      <c r="F91" s="56">
        <f>B91*Inputs!$D$20/10000+(B91/Inputs!$D$22*Inputs!$D$23+B91*Inputs!$D$25)*(Inputs!$D$13-Inputs!$D$14*E91)+Inputs!$D$27*Inputs!$D$28*Inputs!$D$29*(1+Inputs!$D$30*Inputs!$D$31/12)/Inputs!$D$31</f>
        <v/>
      </c>
      <c r="G91" s="58">
        <f>F91-D91</f>
        <v/>
      </c>
      <c r="H91" s="59">
        <f>IF(G91&gt;=0,1,0)</f>
        <v/>
      </c>
      <c r="I91" s="56">
        <f>Inputs!$E$33+MAX(0,MIN(B91,Inputs!$E$35)-MAX(0,C91))*Inputs!$E$36+MAX(0,MIN(B91,Inputs!$E$37)-MAX(Inputs!$E$35,C91))*Inputs!$E$38+MAX(0,MIN(B91,Inputs!$E$39)-MAX(Inputs!$E$37,C91))*Inputs!$E$40+MAX(0,B91-MAX(Inputs!$E$39,C91))*Inputs!$E$41</f>
        <v/>
      </c>
      <c r="J91" s="57">
        <f>(B91*(Inputs!$E$16-Inputs!$E$20/10000)+I91)/B91</f>
        <v/>
      </c>
      <c r="K91" s="56">
        <f>B91*Inputs!$E$20/10000+(B91/Inputs!$E$22*Inputs!$E$23+B91*Inputs!$E$25)*(Inputs!$E$13-Inputs!$E$14*J91)+Inputs!$E$27*Inputs!$E$28*Inputs!$E$29*(1+Inputs!$E$30*Inputs!$E$31/12)/Inputs!$E$31</f>
        <v/>
      </c>
      <c r="L91" s="58">
        <f>K91-I91</f>
        <v/>
      </c>
      <c r="M91" s="59">
        <f>IF(L91&gt;=0,1,0)</f>
        <v/>
      </c>
      <c r="N91" s="56">
        <f>Inputs!$E$33+MAX(0,MIN(B91,Inputs!$E$35)-MAX(0,C91))*Inputs!$E$36+MAX(0,MIN(B91,Inputs!$E$37)-MAX(Inputs!$E$35,C91))*Inputs!$E$38+MAX(0,MIN(B91,Inputs!$E$39)-MAX(Inputs!$E$37,C91))*Inputs!$E$40+MAX(0,B91-MAX(Inputs!$E$39,C91))*Inputs!$E$41</f>
        <v/>
      </c>
      <c r="O91" s="57">
        <f>(B91*(Inputs!$F$16-Inputs!$F$20/10000)+N91)/B91</f>
        <v/>
      </c>
      <c r="P91" s="56">
        <f>B91*Inputs!$F$20/10000+(B91/Inputs!$F$22*Inputs!$F$23+B91*Inputs!$F$25)*(Inputs!$F$13-Inputs!$F$14*O91)+Inputs!$F$27*Inputs!$F$28*Inputs!$F$29*(1+Inputs!$F$30*Inputs!$F$31/12)/Inputs!$F$31</f>
        <v/>
      </c>
      <c r="Q91" s="58">
        <f>P91-N91</f>
        <v/>
      </c>
      <c r="R91" s="59">
        <f>IF(Q91&gt;=0,1,0)</f>
        <v/>
      </c>
    </row>
    <row r="92">
      <c r="A92" s="60">
        <f>A91+5000</f>
        <v/>
      </c>
      <c r="B92" s="56">
        <f>A92*Inputs!$E$6</f>
        <v/>
      </c>
      <c r="C92" s="56">
        <f>MIN(B92,Inputs!$E$34)</f>
        <v/>
      </c>
      <c r="D92" s="56">
        <f>Inputs!$E$33+MAX(0,MIN(B92,Inputs!$E$35)-MAX(0,C92))*Inputs!$E$36+MAX(0,MIN(B92,Inputs!$E$37)-MAX(Inputs!$E$35,C92))*Inputs!$E$38+MAX(0,MIN(B92,Inputs!$E$39)-MAX(Inputs!$E$37,C92))*Inputs!$E$40+MAX(0,B92-MAX(Inputs!$E$39,C92))*Inputs!$E$41</f>
        <v/>
      </c>
      <c r="E92" s="57">
        <f>(B92*(Inputs!$D$16-Inputs!$D$20/10000)+D92)/B92</f>
        <v/>
      </c>
      <c r="F92" s="56">
        <f>B92*Inputs!$D$20/10000+(B92/Inputs!$D$22*Inputs!$D$23+B92*Inputs!$D$25)*(Inputs!$D$13-Inputs!$D$14*E92)+Inputs!$D$27*Inputs!$D$28*Inputs!$D$29*(1+Inputs!$D$30*Inputs!$D$31/12)/Inputs!$D$31</f>
        <v/>
      </c>
      <c r="G92" s="58">
        <f>F92-D92</f>
        <v/>
      </c>
      <c r="H92" s="59">
        <f>IF(G92&gt;=0,1,0)</f>
        <v/>
      </c>
      <c r="I92" s="56">
        <f>Inputs!$E$33+MAX(0,MIN(B92,Inputs!$E$35)-MAX(0,C92))*Inputs!$E$36+MAX(0,MIN(B92,Inputs!$E$37)-MAX(Inputs!$E$35,C92))*Inputs!$E$38+MAX(0,MIN(B92,Inputs!$E$39)-MAX(Inputs!$E$37,C92))*Inputs!$E$40+MAX(0,B92-MAX(Inputs!$E$39,C92))*Inputs!$E$41</f>
        <v/>
      </c>
      <c r="J92" s="57">
        <f>(B92*(Inputs!$E$16-Inputs!$E$20/10000)+I92)/B92</f>
        <v/>
      </c>
      <c r="K92" s="56">
        <f>B92*Inputs!$E$20/10000+(B92/Inputs!$E$22*Inputs!$E$23+B92*Inputs!$E$25)*(Inputs!$E$13-Inputs!$E$14*J92)+Inputs!$E$27*Inputs!$E$28*Inputs!$E$29*(1+Inputs!$E$30*Inputs!$E$31/12)/Inputs!$E$31</f>
        <v/>
      </c>
      <c r="L92" s="58">
        <f>K92-I92</f>
        <v/>
      </c>
      <c r="M92" s="59">
        <f>IF(L92&gt;=0,1,0)</f>
        <v/>
      </c>
      <c r="N92" s="56">
        <f>Inputs!$E$33+MAX(0,MIN(B92,Inputs!$E$35)-MAX(0,C92))*Inputs!$E$36+MAX(0,MIN(B92,Inputs!$E$37)-MAX(Inputs!$E$35,C92))*Inputs!$E$38+MAX(0,MIN(B92,Inputs!$E$39)-MAX(Inputs!$E$37,C92))*Inputs!$E$40+MAX(0,B92-MAX(Inputs!$E$39,C92))*Inputs!$E$41</f>
        <v/>
      </c>
      <c r="O92" s="57">
        <f>(B92*(Inputs!$F$16-Inputs!$F$20/10000)+N92)/B92</f>
        <v/>
      </c>
      <c r="P92" s="56">
        <f>B92*Inputs!$F$20/10000+(B92/Inputs!$F$22*Inputs!$F$23+B92*Inputs!$F$25)*(Inputs!$F$13-Inputs!$F$14*O92)+Inputs!$F$27*Inputs!$F$28*Inputs!$F$29*(1+Inputs!$F$30*Inputs!$F$31/12)/Inputs!$F$31</f>
        <v/>
      </c>
      <c r="Q92" s="58">
        <f>P92-N92</f>
        <v/>
      </c>
      <c r="R92" s="59">
        <f>IF(Q92&gt;=0,1,0)</f>
        <v/>
      </c>
    </row>
    <row r="93">
      <c r="A93" s="60">
        <f>A92+5000</f>
        <v/>
      </c>
      <c r="B93" s="56">
        <f>A93*Inputs!$E$6</f>
        <v/>
      </c>
      <c r="C93" s="56">
        <f>MIN(B93,Inputs!$E$34)</f>
        <v/>
      </c>
      <c r="D93" s="56">
        <f>Inputs!$E$33+MAX(0,MIN(B93,Inputs!$E$35)-MAX(0,C93))*Inputs!$E$36+MAX(0,MIN(B93,Inputs!$E$37)-MAX(Inputs!$E$35,C93))*Inputs!$E$38+MAX(0,MIN(B93,Inputs!$E$39)-MAX(Inputs!$E$37,C93))*Inputs!$E$40+MAX(0,B93-MAX(Inputs!$E$39,C93))*Inputs!$E$41</f>
        <v/>
      </c>
      <c r="E93" s="57">
        <f>(B93*(Inputs!$D$16-Inputs!$D$20/10000)+D93)/B93</f>
        <v/>
      </c>
      <c r="F93" s="56">
        <f>B93*Inputs!$D$20/10000+(B93/Inputs!$D$22*Inputs!$D$23+B93*Inputs!$D$25)*(Inputs!$D$13-Inputs!$D$14*E93)+Inputs!$D$27*Inputs!$D$28*Inputs!$D$29*(1+Inputs!$D$30*Inputs!$D$31/12)/Inputs!$D$31</f>
        <v/>
      </c>
      <c r="G93" s="58">
        <f>F93-D93</f>
        <v/>
      </c>
      <c r="H93" s="59">
        <f>IF(G93&gt;=0,1,0)</f>
        <v/>
      </c>
      <c r="I93" s="56">
        <f>Inputs!$E$33+MAX(0,MIN(B93,Inputs!$E$35)-MAX(0,C93))*Inputs!$E$36+MAX(0,MIN(B93,Inputs!$E$37)-MAX(Inputs!$E$35,C93))*Inputs!$E$38+MAX(0,MIN(B93,Inputs!$E$39)-MAX(Inputs!$E$37,C93))*Inputs!$E$40+MAX(0,B93-MAX(Inputs!$E$39,C93))*Inputs!$E$41</f>
        <v/>
      </c>
      <c r="J93" s="57">
        <f>(B93*(Inputs!$E$16-Inputs!$E$20/10000)+I93)/B93</f>
        <v/>
      </c>
      <c r="K93" s="56">
        <f>B93*Inputs!$E$20/10000+(B93/Inputs!$E$22*Inputs!$E$23+B93*Inputs!$E$25)*(Inputs!$E$13-Inputs!$E$14*J93)+Inputs!$E$27*Inputs!$E$28*Inputs!$E$29*(1+Inputs!$E$30*Inputs!$E$31/12)/Inputs!$E$31</f>
        <v/>
      </c>
      <c r="L93" s="58">
        <f>K93-I93</f>
        <v/>
      </c>
      <c r="M93" s="59">
        <f>IF(L93&gt;=0,1,0)</f>
        <v/>
      </c>
      <c r="N93" s="56">
        <f>Inputs!$E$33+MAX(0,MIN(B93,Inputs!$E$35)-MAX(0,C93))*Inputs!$E$36+MAX(0,MIN(B93,Inputs!$E$37)-MAX(Inputs!$E$35,C93))*Inputs!$E$38+MAX(0,MIN(B93,Inputs!$E$39)-MAX(Inputs!$E$37,C93))*Inputs!$E$40+MAX(0,B93-MAX(Inputs!$E$39,C93))*Inputs!$E$41</f>
        <v/>
      </c>
      <c r="O93" s="57">
        <f>(B93*(Inputs!$F$16-Inputs!$F$20/10000)+N93)/B93</f>
        <v/>
      </c>
      <c r="P93" s="56">
        <f>B93*Inputs!$F$20/10000+(B93/Inputs!$F$22*Inputs!$F$23+B93*Inputs!$F$25)*(Inputs!$F$13-Inputs!$F$14*O93)+Inputs!$F$27*Inputs!$F$28*Inputs!$F$29*(1+Inputs!$F$30*Inputs!$F$31/12)/Inputs!$F$31</f>
        <v/>
      </c>
      <c r="Q93" s="58">
        <f>P93-N93</f>
        <v/>
      </c>
      <c r="R93" s="59">
        <f>IF(Q93&gt;=0,1,0)</f>
        <v/>
      </c>
    </row>
    <row r="94">
      <c r="A94" s="60">
        <f>A93+5000</f>
        <v/>
      </c>
      <c r="B94" s="56">
        <f>A94*Inputs!$E$6</f>
        <v/>
      </c>
      <c r="C94" s="56">
        <f>MIN(B94,Inputs!$E$34)</f>
        <v/>
      </c>
      <c r="D94" s="56">
        <f>Inputs!$E$33+MAX(0,MIN(B94,Inputs!$E$35)-MAX(0,C94))*Inputs!$E$36+MAX(0,MIN(B94,Inputs!$E$37)-MAX(Inputs!$E$35,C94))*Inputs!$E$38+MAX(0,MIN(B94,Inputs!$E$39)-MAX(Inputs!$E$37,C94))*Inputs!$E$40+MAX(0,B94-MAX(Inputs!$E$39,C94))*Inputs!$E$41</f>
        <v/>
      </c>
      <c r="E94" s="57">
        <f>(B94*(Inputs!$D$16-Inputs!$D$20/10000)+D94)/B94</f>
        <v/>
      </c>
      <c r="F94" s="56">
        <f>B94*Inputs!$D$20/10000+(B94/Inputs!$D$22*Inputs!$D$23+B94*Inputs!$D$25)*(Inputs!$D$13-Inputs!$D$14*E94)+Inputs!$D$27*Inputs!$D$28*Inputs!$D$29*(1+Inputs!$D$30*Inputs!$D$31/12)/Inputs!$D$31</f>
        <v/>
      </c>
      <c r="G94" s="58">
        <f>F94-D94</f>
        <v/>
      </c>
      <c r="H94" s="59">
        <f>IF(G94&gt;=0,1,0)</f>
        <v/>
      </c>
      <c r="I94" s="56">
        <f>Inputs!$E$33+MAX(0,MIN(B94,Inputs!$E$35)-MAX(0,C94))*Inputs!$E$36+MAX(0,MIN(B94,Inputs!$E$37)-MAX(Inputs!$E$35,C94))*Inputs!$E$38+MAX(0,MIN(B94,Inputs!$E$39)-MAX(Inputs!$E$37,C94))*Inputs!$E$40+MAX(0,B94-MAX(Inputs!$E$39,C94))*Inputs!$E$41</f>
        <v/>
      </c>
      <c r="J94" s="57">
        <f>(B94*(Inputs!$E$16-Inputs!$E$20/10000)+I94)/B94</f>
        <v/>
      </c>
      <c r="K94" s="56">
        <f>B94*Inputs!$E$20/10000+(B94/Inputs!$E$22*Inputs!$E$23+B94*Inputs!$E$25)*(Inputs!$E$13-Inputs!$E$14*J94)+Inputs!$E$27*Inputs!$E$28*Inputs!$E$29*(1+Inputs!$E$30*Inputs!$E$31/12)/Inputs!$E$31</f>
        <v/>
      </c>
      <c r="L94" s="58">
        <f>K94-I94</f>
        <v/>
      </c>
      <c r="M94" s="59">
        <f>IF(L94&gt;=0,1,0)</f>
        <v/>
      </c>
      <c r="N94" s="56">
        <f>Inputs!$E$33+MAX(0,MIN(B94,Inputs!$E$35)-MAX(0,C94))*Inputs!$E$36+MAX(0,MIN(B94,Inputs!$E$37)-MAX(Inputs!$E$35,C94))*Inputs!$E$38+MAX(0,MIN(B94,Inputs!$E$39)-MAX(Inputs!$E$37,C94))*Inputs!$E$40+MAX(0,B94-MAX(Inputs!$E$39,C94))*Inputs!$E$41</f>
        <v/>
      </c>
      <c r="O94" s="57">
        <f>(B94*(Inputs!$F$16-Inputs!$F$20/10000)+N94)/B94</f>
        <v/>
      </c>
      <c r="P94" s="56">
        <f>B94*Inputs!$F$20/10000+(B94/Inputs!$F$22*Inputs!$F$23+B94*Inputs!$F$25)*(Inputs!$F$13-Inputs!$F$14*O94)+Inputs!$F$27*Inputs!$F$28*Inputs!$F$29*(1+Inputs!$F$30*Inputs!$F$31/12)/Inputs!$F$31</f>
        <v/>
      </c>
      <c r="Q94" s="58">
        <f>P94-N94</f>
        <v/>
      </c>
      <c r="R94" s="59">
        <f>IF(Q94&gt;=0,1,0)</f>
        <v/>
      </c>
    </row>
    <row r="95">
      <c r="A95" s="60">
        <f>A94+5000</f>
        <v/>
      </c>
      <c r="B95" s="56">
        <f>A95*Inputs!$E$6</f>
        <v/>
      </c>
      <c r="C95" s="56">
        <f>MIN(B95,Inputs!$E$34)</f>
        <v/>
      </c>
      <c r="D95" s="56">
        <f>Inputs!$E$33+MAX(0,MIN(B95,Inputs!$E$35)-MAX(0,C95))*Inputs!$E$36+MAX(0,MIN(B95,Inputs!$E$37)-MAX(Inputs!$E$35,C95))*Inputs!$E$38+MAX(0,MIN(B95,Inputs!$E$39)-MAX(Inputs!$E$37,C95))*Inputs!$E$40+MAX(0,B95-MAX(Inputs!$E$39,C95))*Inputs!$E$41</f>
        <v/>
      </c>
      <c r="E95" s="57">
        <f>(B95*(Inputs!$D$16-Inputs!$D$20/10000)+D95)/B95</f>
        <v/>
      </c>
      <c r="F95" s="56">
        <f>B95*Inputs!$D$20/10000+(B95/Inputs!$D$22*Inputs!$D$23+B95*Inputs!$D$25)*(Inputs!$D$13-Inputs!$D$14*E95)+Inputs!$D$27*Inputs!$D$28*Inputs!$D$29*(1+Inputs!$D$30*Inputs!$D$31/12)/Inputs!$D$31</f>
        <v/>
      </c>
      <c r="G95" s="58">
        <f>F95-D95</f>
        <v/>
      </c>
      <c r="H95" s="59">
        <f>IF(G95&gt;=0,1,0)</f>
        <v/>
      </c>
      <c r="I95" s="56">
        <f>Inputs!$E$33+MAX(0,MIN(B95,Inputs!$E$35)-MAX(0,C95))*Inputs!$E$36+MAX(0,MIN(B95,Inputs!$E$37)-MAX(Inputs!$E$35,C95))*Inputs!$E$38+MAX(0,MIN(B95,Inputs!$E$39)-MAX(Inputs!$E$37,C95))*Inputs!$E$40+MAX(0,B95-MAX(Inputs!$E$39,C95))*Inputs!$E$41</f>
        <v/>
      </c>
      <c r="J95" s="57">
        <f>(B95*(Inputs!$E$16-Inputs!$E$20/10000)+I95)/B95</f>
        <v/>
      </c>
      <c r="K95" s="56">
        <f>B95*Inputs!$E$20/10000+(B95/Inputs!$E$22*Inputs!$E$23+B95*Inputs!$E$25)*(Inputs!$E$13-Inputs!$E$14*J95)+Inputs!$E$27*Inputs!$E$28*Inputs!$E$29*(1+Inputs!$E$30*Inputs!$E$31/12)/Inputs!$E$31</f>
        <v/>
      </c>
      <c r="L95" s="58">
        <f>K95-I95</f>
        <v/>
      </c>
      <c r="M95" s="59">
        <f>IF(L95&gt;=0,1,0)</f>
        <v/>
      </c>
      <c r="N95" s="56">
        <f>Inputs!$E$33+MAX(0,MIN(B95,Inputs!$E$35)-MAX(0,C95))*Inputs!$E$36+MAX(0,MIN(B95,Inputs!$E$37)-MAX(Inputs!$E$35,C95))*Inputs!$E$38+MAX(0,MIN(B95,Inputs!$E$39)-MAX(Inputs!$E$37,C95))*Inputs!$E$40+MAX(0,B95-MAX(Inputs!$E$39,C95))*Inputs!$E$41</f>
        <v/>
      </c>
      <c r="O95" s="57">
        <f>(B95*(Inputs!$F$16-Inputs!$F$20/10000)+N95)/B95</f>
        <v/>
      </c>
      <c r="P95" s="56">
        <f>B95*Inputs!$F$20/10000+(B95/Inputs!$F$22*Inputs!$F$23+B95*Inputs!$F$25)*(Inputs!$F$13-Inputs!$F$14*O95)+Inputs!$F$27*Inputs!$F$28*Inputs!$F$29*(1+Inputs!$F$30*Inputs!$F$31/12)/Inputs!$F$31</f>
        <v/>
      </c>
      <c r="Q95" s="58">
        <f>P95-N95</f>
        <v/>
      </c>
      <c r="R95" s="59">
        <f>IF(Q95&gt;=0,1,0)</f>
        <v/>
      </c>
    </row>
    <row r="96">
      <c r="A96" s="60">
        <f>A95+5000</f>
        <v/>
      </c>
      <c r="B96" s="56">
        <f>A96*Inputs!$E$6</f>
        <v/>
      </c>
      <c r="C96" s="56">
        <f>MIN(B96,Inputs!$E$34)</f>
        <v/>
      </c>
      <c r="D96" s="56">
        <f>Inputs!$E$33+MAX(0,MIN(B96,Inputs!$E$35)-MAX(0,C96))*Inputs!$E$36+MAX(0,MIN(B96,Inputs!$E$37)-MAX(Inputs!$E$35,C96))*Inputs!$E$38+MAX(0,MIN(B96,Inputs!$E$39)-MAX(Inputs!$E$37,C96))*Inputs!$E$40+MAX(0,B96-MAX(Inputs!$E$39,C96))*Inputs!$E$41</f>
        <v/>
      </c>
      <c r="E96" s="57">
        <f>(B96*(Inputs!$D$16-Inputs!$D$20/10000)+D96)/B96</f>
        <v/>
      </c>
      <c r="F96" s="56">
        <f>B96*Inputs!$D$20/10000+(B96/Inputs!$D$22*Inputs!$D$23+B96*Inputs!$D$25)*(Inputs!$D$13-Inputs!$D$14*E96)+Inputs!$D$27*Inputs!$D$28*Inputs!$D$29*(1+Inputs!$D$30*Inputs!$D$31/12)/Inputs!$D$31</f>
        <v/>
      </c>
      <c r="G96" s="58">
        <f>F96-D96</f>
        <v/>
      </c>
      <c r="H96" s="59">
        <f>IF(G96&gt;=0,1,0)</f>
        <v/>
      </c>
      <c r="I96" s="56">
        <f>Inputs!$E$33+MAX(0,MIN(B96,Inputs!$E$35)-MAX(0,C96))*Inputs!$E$36+MAX(0,MIN(B96,Inputs!$E$37)-MAX(Inputs!$E$35,C96))*Inputs!$E$38+MAX(0,MIN(B96,Inputs!$E$39)-MAX(Inputs!$E$37,C96))*Inputs!$E$40+MAX(0,B96-MAX(Inputs!$E$39,C96))*Inputs!$E$41</f>
        <v/>
      </c>
      <c r="J96" s="57">
        <f>(B96*(Inputs!$E$16-Inputs!$E$20/10000)+I96)/B96</f>
        <v/>
      </c>
      <c r="K96" s="56">
        <f>B96*Inputs!$E$20/10000+(B96/Inputs!$E$22*Inputs!$E$23+B96*Inputs!$E$25)*(Inputs!$E$13-Inputs!$E$14*J96)+Inputs!$E$27*Inputs!$E$28*Inputs!$E$29*(1+Inputs!$E$30*Inputs!$E$31/12)/Inputs!$E$31</f>
        <v/>
      </c>
      <c r="L96" s="58">
        <f>K96-I96</f>
        <v/>
      </c>
      <c r="M96" s="59">
        <f>IF(L96&gt;=0,1,0)</f>
        <v/>
      </c>
      <c r="N96" s="56">
        <f>Inputs!$E$33+MAX(0,MIN(B96,Inputs!$E$35)-MAX(0,C96))*Inputs!$E$36+MAX(0,MIN(B96,Inputs!$E$37)-MAX(Inputs!$E$35,C96))*Inputs!$E$38+MAX(0,MIN(B96,Inputs!$E$39)-MAX(Inputs!$E$37,C96))*Inputs!$E$40+MAX(0,B96-MAX(Inputs!$E$39,C96))*Inputs!$E$41</f>
        <v/>
      </c>
      <c r="O96" s="57">
        <f>(B96*(Inputs!$F$16-Inputs!$F$20/10000)+N96)/B96</f>
        <v/>
      </c>
      <c r="P96" s="56">
        <f>B96*Inputs!$F$20/10000+(B96/Inputs!$F$22*Inputs!$F$23+B96*Inputs!$F$25)*(Inputs!$F$13-Inputs!$F$14*O96)+Inputs!$F$27*Inputs!$F$28*Inputs!$F$29*(1+Inputs!$F$30*Inputs!$F$31/12)/Inputs!$F$31</f>
        <v/>
      </c>
      <c r="Q96" s="58">
        <f>P96-N96</f>
        <v/>
      </c>
      <c r="R96" s="59">
        <f>IF(Q96&gt;=0,1,0)</f>
        <v/>
      </c>
    </row>
    <row r="97">
      <c r="A97" s="60">
        <f>A96+5000</f>
        <v/>
      </c>
      <c r="B97" s="56">
        <f>A97*Inputs!$E$6</f>
        <v/>
      </c>
      <c r="C97" s="56">
        <f>MIN(B97,Inputs!$E$34)</f>
        <v/>
      </c>
      <c r="D97" s="56">
        <f>Inputs!$E$33+MAX(0,MIN(B97,Inputs!$E$35)-MAX(0,C97))*Inputs!$E$36+MAX(0,MIN(B97,Inputs!$E$37)-MAX(Inputs!$E$35,C97))*Inputs!$E$38+MAX(0,MIN(B97,Inputs!$E$39)-MAX(Inputs!$E$37,C97))*Inputs!$E$40+MAX(0,B97-MAX(Inputs!$E$39,C97))*Inputs!$E$41</f>
        <v/>
      </c>
      <c r="E97" s="57">
        <f>(B97*(Inputs!$D$16-Inputs!$D$20/10000)+D97)/B97</f>
        <v/>
      </c>
      <c r="F97" s="56">
        <f>B97*Inputs!$D$20/10000+(B97/Inputs!$D$22*Inputs!$D$23+B97*Inputs!$D$25)*(Inputs!$D$13-Inputs!$D$14*E97)+Inputs!$D$27*Inputs!$D$28*Inputs!$D$29*(1+Inputs!$D$30*Inputs!$D$31/12)/Inputs!$D$31</f>
        <v/>
      </c>
      <c r="G97" s="58">
        <f>F97-D97</f>
        <v/>
      </c>
      <c r="H97" s="59">
        <f>IF(G97&gt;=0,1,0)</f>
        <v/>
      </c>
      <c r="I97" s="56">
        <f>Inputs!$E$33+MAX(0,MIN(B97,Inputs!$E$35)-MAX(0,C97))*Inputs!$E$36+MAX(0,MIN(B97,Inputs!$E$37)-MAX(Inputs!$E$35,C97))*Inputs!$E$38+MAX(0,MIN(B97,Inputs!$E$39)-MAX(Inputs!$E$37,C97))*Inputs!$E$40+MAX(0,B97-MAX(Inputs!$E$39,C97))*Inputs!$E$41</f>
        <v/>
      </c>
      <c r="J97" s="57">
        <f>(B97*(Inputs!$E$16-Inputs!$E$20/10000)+I97)/B97</f>
        <v/>
      </c>
      <c r="K97" s="56">
        <f>B97*Inputs!$E$20/10000+(B97/Inputs!$E$22*Inputs!$E$23+B97*Inputs!$E$25)*(Inputs!$E$13-Inputs!$E$14*J97)+Inputs!$E$27*Inputs!$E$28*Inputs!$E$29*(1+Inputs!$E$30*Inputs!$E$31/12)/Inputs!$E$31</f>
        <v/>
      </c>
      <c r="L97" s="58">
        <f>K97-I97</f>
        <v/>
      </c>
      <c r="M97" s="59">
        <f>IF(L97&gt;=0,1,0)</f>
        <v/>
      </c>
      <c r="N97" s="56">
        <f>Inputs!$E$33+MAX(0,MIN(B97,Inputs!$E$35)-MAX(0,C97))*Inputs!$E$36+MAX(0,MIN(B97,Inputs!$E$37)-MAX(Inputs!$E$35,C97))*Inputs!$E$38+MAX(0,MIN(B97,Inputs!$E$39)-MAX(Inputs!$E$37,C97))*Inputs!$E$40+MAX(0,B97-MAX(Inputs!$E$39,C97))*Inputs!$E$41</f>
        <v/>
      </c>
      <c r="O97" s="57">
        <f>(B97*(Inputs!$F$16-Inputs!$F$20/10000)+N97)/B97</f>
        <v/>
      </c>
      <c r="P97" s="56">
        <f>B97*Inputs!$F$20/10000+(B97/Inputs!$F$22*Inputs!$F$23+B97*Inputs!$F$25)*(Inputs!$F$13-Inputs!$F$14*O97)+Inputs!$F$27*Inputs!$F$28*Inputs!$F$29*(1+Inputs!$F$30*Inputs!$F$31/12)/Inputs!$F$31</f>
        <v/>
      </c>
      <c r="Q97" s="58">
        <f>P97-N97</f>
        <v/>
      </c>
      <c r="R97" s="59">
        <f>IF(Q97&gt;=0,1,0)</f>
        <v/>
      </c>
    </row>
    <row r="98">
      <c r="A98" s="60">
        <f>A97+5000</f>
        <v/>
      </c>
      <c r="B98" s="56">
        <f>A98*Inputs!$E$6</f>
        <v/>
      </c>
      <c r="C98" s="56">
        <f>MIN(B98,Inputs!$E$34)</f>
        <v/>
      </c>
      <c r="D98" s="56">
        <f>Inputs!$E$33+MAX(0,MIN(B98,Inputs!$E$35)-MAX(0,C98))*Inputs!$E$36+MAX(0,MIN(B98,Inputs!$E$37)-MAX(Inputs!$E$35,C98))*Inputs!$E$38+MAX(0,MIN(B98,Inputs!$E$39)-MAX(Inputs!$E$37,C98))*Inputs!$E$40+MAX(0,B98-MAX(Inputs!$E$39,C98))*Inputs!$E$41</f>
        <v/>
      </c>
      <c r="E98" s="57">
        <f>(B98*(Inputs!$D$16-Inputs!$D$20/10000)+D98)/B98</f>
        <v/>
      </c>
      <c r="F98" s="56">
        <f>B98*Inputs!$D$20/10000+(B98/Inputs!$D$22*Inputs!$D$23+B98*Inputs!$D$25)*(Inputs!$D$13-Inputs!$D$14*E98)+Inputs!$D$27*Inputs!$D$28*Inputs!$D$29*(1+Inputs!$D$30*Inputs!$D$31/12)/Inputs!$D$31</f>
        <v/>
      </c>
      <c r="G98" s="58">
        <f>F98-D98</f>
        <v/>
      </c>
      <c r="H98" s="59">
        <f>IF(G98&gt;=0,1,0)</f>
        <v/>
      </c>
      <c r="I98" s="56">
        <f>Inputs!$E$33+MAX(0,MIN(B98,Inputs!$E$35)-MAX(0,C98))*Inputs!$E$36+MAX(0,MIN(B98,Inputs!$E$37)-MAX(Inputs!$E$35,C98))*Inputs!$E$38+MAX(0,MIN(B98,Inputs!$E$39)-MAX(Inputs!$E$37,C98))*Inputs!$E$40+MAX(0,B98-MAX(Inputs!$E$39,C98))*Inputs!$E$41</f>
        <v/>
      </c>
      <c r="J98" s="57">
        <f>(B98*(Inputs!$E$16-Inputs!$E$20/10000)+I98)/B98</f>
        <v/>
      </c>
      <c r="K98" s="56">
        <f>B98*Inputs!$E$20/10000+(B98/Inputs!$E$22*Inputs!$E$23+B98*Inputs!$E$25)*(Inputs!$E$13-Inputs!$E$14*J98)+Inputs!$E$27*Inputs!$E$28*Inputs!$E$29*(1+Inputs!$E$30*Inputs!$E$31/12)/Inputs!$E$31</f>
        <v/>
      </c>
      <c r="L98" s="58">
        <f>K98-I98</f>
        <v/>
      </c>
      <c r="M98" s="59">
        <f>IF(L98&gt;=0,1,0)</f>
        <v/>
      </c>
      <c r="N98" s="56">
        <f>Inputs!$E$33+MAX(0,MIN(B98,Inputs!$E$35)-MAX(0,C98))*Inputs!$E$36+MAX(0,MIN(B98,Inputs!$E$37)-MAX(Inputs!$E$35,C98))*Inputs!$E$38+MAX(0,MIN(B98,Inputs!$E$39)-MAX(Inputs!$E$37,C98))*Inputs!$E$40+MAX(0,B98-MAX(Inputs!$E$39,C98))*Inputs!$E$41</f>
        <v/>
      </c>
      <c r="O98" s="57">
        <f>(B98*(Inputs!$F$16-Inputs!$F$20/10000)+N98)/B98</f>
        <v/>
      </c>
      <c r="P98" s="56">
        <f>B98*Inputs!$F$20/10000+(B98/Inputs!$F$22*Inputs!$F$23+B98*Inputs!$F$25)*(Inputs!$F$13-Inputs!$F$14*O98)+Inputs!$F$27*Inputs!$F$28*Inputs!$F$29*(1+Inputs!$F$30*Inputs!$F$31/12)/Inputs!$F$31</f>
        <v/>
      </c>
      <c r="Q98" s="58">
        <f>P98-N98</f>
        <v/>
      </c>
      <c r="R98" s="59">
        <f>IF(Q98&gt;=0,1,0)</f>
        <v/>
      </c>
    </row>
    <row r="99">
      <c r="A99" s="60">
        <f>A98+5000</f>
        <v/>
      </c>
      <c r="B99" s="56">
        <f>A99*Inputs!$E$6</f>
        <v/>
      </c>
      <c r="C99" s="56">
        <f>MIN(B99,Inputs!$E$34)</f>
        <v/>
      </c>
      <c r="D99" s="56">
        <f>Inputs!$E$33+MAX(0,MIN(B99,Inputs!$E$35)-MAX(0,C99))*Inputs!$E$36+MAX(0,MIN(B99,Inputs!$E$37)-MAX(Inputs!$E$35,C99))*Inputs!$E$38+MAX(0,MIN(B99,Inputs!$E$39)-MAX(Inputs!$E$37,C99))*Inputs!$E$40+MAX(0,B99-MAX(Inputs!$E$39,C99))*Inputs!$E$41</f>
        <v/>
      </c>
      <c r="E99" s="57">
        <f>(B99*(Inputs!$D$16-Inputs!$D$20/10000)+D99)/B99</f>
        <v/>
      </c>
      <c r="F99" s="56">
        <f>B99*Inputs!$D$20/10000+(B99/Inputs!$D$22*Inputs!$D$23+B99*Inputs!$D$25)*(Inputs!$D$13-Inputs!$D$14*E99)+Inputs!$D$27*Inputs!$D$28*Inputs!$D$29*(1+Inputs!$D$30*Inputs!$D$31/12)/Inputs!$D$31</f>
        <v/>
      </c>
      <c r="G99" s="58">
        <f>F99-D99</f>
        <v/>
      </c>
      <c r="H99" s="59">
        <f>IF(G99&gt;=0,1,0)</f>
        <v/>
      </c>
      <c r="I99" s="56">
        <f>Inputs!$E$33+MAX(0,MIN(B99,Inputs!$E$35)-MAX(0,C99))*Inputs!$E$36+MAX(0,MIN(B99,Inputs!$E$37)-MAX(Inputs!$E$35,C99))*Inputs!$E$38+MAX(0,MIN(B99,Inputs!$E$39)-MAX(Inputs!$E$37,C99))*Inputs!$E$40+MAX(0,B99-MAX(Inputs!$E$39,C99))*Inputs!$E$41</f>
        <v/>
      </c>
      <c r="J99" s="57">
        <f>(B99*(Inputs!$E$16-Inputs!$E$20/10000)+I99)/B99</f>
        <v/>
      </c>
      <c r="K99" s="56">
        <f>B99*Inputs!$E$20/10000+(B99/Inputs!$E$22*Inputs!$E$23+B99*Inputs!$E$25)*(Inputs!$E$13-Inputs!$E$14*J99)+Inputs!$E$27*Inputs!$E$28*Inputs!$E$29*(1+Inputs!$E$30*Inputs!$E$31/12)/Inputs!$E$31</f>
        <v/>
      </c>
      <c r="L99" s="58">
        <f>K99-I99</f>
        <v/>
      </c>
      <c r="M99" s="59">
        <f>IF(L99&gt;=0,1,0)</f>
        <v/>
      </c>
      <c r="N99" s="56">
        <f>Inputs!$E$33+MAX(0,MIN(B99,Inputs!$E$35)-MAX(0,C99))*Inputs!$E$36+MAX(0,MIN(B99,Inputs!$E$37)-MAX(Inputs!$E$35,C99))*Inputs!$E$38+MAX(0,MIN(B99,Inputs!$E$39)-MAX(Inputs!$E$37,C99))*Inputs!$E$40+MAX(0,B99-MAX(Inputs!$E$39,C99))*Inputs!$E$41</f>
        <v/>
      </c>
      <c r="O99" s="57">
        <f>(B99*(Inputs!$F$16-Inputs!$F$20/10000)+N99)/B99</f>
        <v/>
      </c>
      <c r="P99" s="56">
        <f>B99*Inputs!$F$20/10000+(B99/Inputs!$F$22*Inputs!$F$23+B99*Inputs!$F$25)*(Inputs!$F$13-Inputs!$F$14*O99)+Inputs!$F$27*Inputs!$F$28*Inputs!$F$29*(1+Inputs!$F$30*Inputs!$F$31/12)/Inputs!$F$31</f>
        <v/>
      </c>
      <c r="Q99" s="58">
        <f>P99-N99</f>
        <v/>
      </c>
      <c r="R99" s="59">
        <f>IF(Q99&gt;=0,1,0)</f>
        <v/>
      </c>
    </row>
    <row r="100">
      <c r="A100" s="60">
        <f>A99+5000</f>
        <v/>
      </c>
      <c r="B100" s="56">
        <f>A100*Inputs!$E$6</f>
        <v/>
      </c>
      <c r="C100" s="56">
        <f>MIN(B100,Inputs!$E$34)</f>
        <v/>
      </c>
      <c r="D100" s="56">
        <f>Inputs!$E$33+MAX(0,MIN(B100,Inputs!$E$35)-MAX(0,C100))*Inputs!$E$36+MAX(0,MIN(B100,Inputs!$E$37)-MAX(Inputs!$E$35,C100))*Inputs!$E$38+MAX(0,MIN(B100,Inputs!$E$39)-MAX(Inputs!$E$37,C100))*Inputs!$E$40+MAX(0,B100-MAX(Inputs!$E$39,C100))*Inputs!$E$41</f>
        <v/>
      </c>
      <c r="E100" s="57">
        <f>(B100*(Inputs!$D$16-Inputs!$D$20/10000)+D100)/B100</f>
        <v/>
      </c>
      <c r="F100" s="56">
        <f>B100*Inputs!$D$20/10000+(B100/Inputs!$D$22*Inputs!$D$23+B100*Inputs!$D$25)*(Inputs!$D$13-Inputs!$D$14*E100)+Inputs!$D$27*Inputs!$D$28*Inputs!$D$29*(1+Inputs!$D$30*Inputs!$D$31/12)/Inputs!$D$31</f>
        <v/>
      </c>
      <c r="G100" s="58">
        <f>F100-D100</f>
        <v/>
      </c>
      <c r="H100" s="59">
        <f>IF(G100&gt;=0,1,0)</f>
        <v/>
      </c>
      <c r="I100" s="56">
        <f>Inputs!$E$33+MAX(0,MIN(B100,Inputs!$E$35)-MAX(0,C100))*Inputs!$E$36+MAX(0,MIN(B100,Inputs!$E$37)-MAX(Inputs!$E$35,C100))*Inputs!$E$38+MAX(0,MIN(B100,Inputs!$E$39)-MAX(Inputs!$E$37,C100))*Inputs!$E$40+MAX(0,B100-MAX(Inputs!$E$39,C100))*Inputs!$E$41</f>
        <v/>
      </c>
      <c r="J100" s="57">
        <f>(B100*(Inputs!$E$16-Inputs!$E$20/10000)+I100)/B100</f>
        <v/>
      </c>
      <c r="K100" s="56">
        <f>B100*Inputs!$E$20/10000+(B100/Inputs!$E$22*Inputs!$E$23+B100*Inputs!$E$25)*(Inputs!$E$13-Inputs!$E$14*J100)+Inputs!$E$27*Inputs!$E$28*Inputs!$E$29*(1+Inputs!$E$30*Inputs!$E$31/12)/Inputs!$E$31</f>
        <v/>
      </c>
      <c r="L100" s="58">
        <f>K100-I100</f>
        <v/>
      </c>
      <c r="M100" s="59">
        <f>IF(L100&gt;=0,1,0)</f>
        <v/>
      </c>
      <c r="N100" s="56">
        <f>Inputs!$E$33+MAX(0,MIN(B100,Inputs!$E$35)-MAX(0,C100))*Inputs!$E$36+MAX(0,MIN(B100,Inputs!$E$37)-MAX(Inputs!$E$35,C100))*Inputs!$E$38+MAX(0,MIN(B100,Inputs!$E$39)-MAX(Inputs!$E$37,C100))*Inputs!$E$40+MAX(0,B100-MAX(Inputs!$E$39,C100))*Inputs!$E$41</f>
        <v/>
      </c>
      <c r="O100" s="57">
        <f>(B100*(Inputs!$F$16-Inputs!$F$20/10000)+N100)/B100</f>
        <v/>
      </c>
      <c r="P100" s="56">
        <f>B100*Inputs!$F$20/10000+(B100/Inputs!$F$22*Inputs!$F$23+B100*Inputs!$F$25)*(Inputs!$F$13-Inputs!$F$14*O100)+Inputs!$F$27*Inputs!$F$28*Inputs!$F$29*(1+Inputs!$F$30*Inputs!$F$31/12)/Inputs!$F$31</f>
        <v/>
      </c>
      <c r="Q100" s="58">
        <f>P100-N100</f>
        <v/>
      </c>
      <c r="R100" s="59">
        <f>IF(Q100&gt;=0,1,0)</f>
        <v/>
      </c>
    </row>
    <row r="101">
      <c r="A101" s="60">
        <f>A100+5000</f>
        <v/>
      </c>
      <c r="B101" s="56">
        <f>A101*Inputs!$E$6</f>
        <v/>
      </c>
      <c r="C101" s="56">
        <f>MIN(B101,Inputs!$E$34)</f>
        <v/>
      </c>
      <c r="D101" s="56">
        <f>Inputs!$E$33+MAX(0,MIN(B101,Inputs!$E$35)-MAX(0,C101))*Inputs!$E$36+MAX(0,MIN(B101,Inputs!$E$37)-MAX(Inputs!$E$35,C101))*Inputs!$E$38+MAX(0,MIN(B101,Inputs!$E$39)-MAX(Inputs!$E$37,C101))*Inputs!$E$40+MAX(0,B101-MAX(Inputs!$E$39,C101))*Inputs!$E$41</f>
        <v/>
      </c>
      <c r="E101" s="57">
        <f>(B101*(Inputs!$D$16-Inputs!$D$20/10000)+D101)/B101</f>
        <v/>
      </c>
      <c r="F101" s="56">
        <f>B101*Inputs!$D$20/10000+(B101/Inputs!$D$22*Inputs!$D$23+B101*Inputs!$D$25)*(Inputs!$D$13-Inputs!$D$14*E101)+Inputs!$D$27*Inputs!$D$28*Inputs!$D$29*(1+Inputs!$D$30*Inputs!$D$31/12)/Inputs!$D$31</f>
        <v/>
      </c>
      <c r="G101" s="58">
        <f>F101-D101</f>
        <v/>
      </c>
      <c r="H101" s="59">
        <f>IF(G101&gt;=0,1,0)</f>
        <v/>
      </c>
      <c r="I101" s="56">
        <f>Inputs!$E$33+MAX(0,MIN(B101,Inputs!$E$35)-MAX(0,C101))*Inputs!$E$36+MAX(0,MIN(B101,Inputs!$E$37)-MAX(Inputs!$E$35,C101))*Inputs!$E$38+MAX(0,MIN(B101,Inputs!$E$39)-MAX(Inputs!$E$37,C101))*Inputs!$E$40+MAX(0,B101-MAX(Inputs!$E$39,C101))*Inputs!$E$41</f>
        <v/>
      </c>
      <c r="J101" s="57">
        <f>(B101*(Inputs!$E$16-Inputs!$E$20/10000)+I101)/B101</f>
        <v/>
      </c>
      <c r="K101" s="56">
        <f>B101*Inputs!$E$20/10000+(B101/Inputs!$E$22*Inputs!$E$23+B101*Inputs!$E$25)*(Inputs!$E$13-Inputs!$E$14*J101)+Inputs!$E$27*Inputs!$E$28*Inputs!$E$29*(1+Inputs!$E$30*Inputs!$E$31/12)/Inputs!$E$31</f>
        <v/>
      </c>
      <c r="L101" s="58">
        <f>K101-I101</f>
        <v/>
      </c>
      <c r="M101" s="59">
        <f>IF(L101&gt;=0,1,0)</f>
        <v/>
      </c>
      <c r="N101" s="56">
        <f>Inputs!$E$33+MAX(0,MIN(B101,Inputs!$E$35)-MAX(0,C101))*Inputs!$E$36+MAX(0,MIN(B101,Inputs!$E$37)-MAX(Inputs!$E$35,C101))*Inputs!$E$38+MAX(0,MIN(B101,Inputs!$E$39)-MAX(Inputs!$E$37,C101))*Inputs!$E$40+MAX(0,B101-MAX(Inputs!$E$39,C101))*Inputs!$E$41</f>
        <v/>
      </c>
      <c r="O101" s="57">
        <f>(B101*(Inputs!$F$16-Inputs!$F$20/10000)+N101)/B101</f>
        <v/>
      </c>
      <c r="P101" s="56">
        <f>B101*Inputs!$F$20/10000+(B101/Inputs!$F$22*Inputs!$F$23+B101*Inputs!$F$25)*(Inputs!$F$13-Inputs!$F$14*O101)+Inputs!$F$27*Inputs!$F$28*Inputs!$F$29*(1+Inputs!$F$30*Inputs!$F$31/12)/Inputs!$F$31</f>
        <v/>
      </c>
      <c r="Q101" s="58">
        <f>P101-N101</f>
        <v/>
      </c>
      <c r="R101" s="59">
        <f>IF(Q101&gt;=0,1,0)</f>
        <v/>
      </c>
    </row>
    <row r="102">
      <c r="A102" s="60">
        <f>A101+5000</f>
        <v/>
      </c>
      <c r="B102" s="56">
        <f>A102*Inputs!$E$6</f>
        <v/>
      </c>
      <c r="C102" s="56">
        <f>MIN(B102,Inputs!$E$34)</f>
        <v/>
      </c>
      <c r="D102" s="56">
        <f>Inputs!$E$33+MAX(0,MIN(B102,Inputs!$E$35)-MAX(0,C102))*Inputs!$E$36+MAX(0,MIN(B102,Inputs!$E$37)-MAX(Inputs!$E$35,C102))*Inputs!$E$38+MAX(0,MIN(B102,Inputs!$E$39)-MAX(Inputs!$E$37,C102))*Inputs!$E$40+MAX(0,B102-MAX(Inputs!$E$39,C102))*Inputs!$E$41</f>
        <v/>
      </c>
      <c r="E102" s="57">
        <f>(B102*(Inputs!$D$16-Inputs!$D$20/10000)+D102)/B102</f>
        <v/>
      </c>
      <c r="F102" s="56">
        <f>B102*Inputs!$D$20/10000+(B102/Inputs!$D$22*Inputs!$D$23+B102*Inputs!$D$25)*(Inputs!$D$13-Inputs!$D$14*E102)+Inputs!$D$27*Inputs!$D$28*Inputs!$D$29*(1+Inputs!$D$30*Inputs!$D$31/12)/Inputs!$D$31</f>
        <v/>
      </c>
      <c r="G102" s="58">
        <f>F102-D102</f>
        <v/>
      </c>
      <c r="H102" s="59">
        <f>IF(G102&gt;=0,1,0)</f>
        <v/>
      </c>
      <c r="I102" s="56">
        <f>Inputs!$E$33+MAX(0,MIN(B102,Inputs!$E$35)-MAX(0,C102))*Inputs!$E$36+MAX(0,MIN(B102,Inputs!$E$37)-MAX(Inputs!$E$35,C102))*Inputs!$E$38+MAX(0,MIN(B102,Inputs!$E$39)-MAX(Inputs!$E$37,C102))*Inputs!$E$40+MAX(0,B102-MAX(Inputs!$E$39,C102))*Inputs!$E$41</f>
        <v/>
      </c>
      <c r="J102" s="57">
        <f>(B102*(Inputs!$E$16-Inputs!$E$20/10000)+I102)/B102</f>
        <v/>
      </c>
      <c r="K102" s="56">
        <f>B102*Inputs!$E$20/10000+(B102/Inputs!$E$22*Inputs!$E$23+B102*Inputs!$E$25)*(Inputs!$E$13-Inputs!$E$14*J102)+Inputs!$E$27*Inputs!$E$28*Inputs!$E$29*(1+Inputs!$E$30*Inputs!$E$31/12)/Inputs!$E$31</f>
        <v/>
      </c>
      <c r="L102" s="58">
        <f>K102-I102</f>
        <v/>
      </c>
      <c r="M102" s="59">
        <f>IF(L102&gt;=0,1,0)</f>
        <v/>
      </c>
      <c r="N102" s="56">
        <f>Inputs!$E$33+MAX(0,MIN(B102,Inputs!$E$35)-MAX(0,C102))*Inputs!$E$36+MAX(0,MIN(B102,Inputs!$E$37)-MAX(Inputs!$E$35,C102))*Inputs!$E$38+MAX(0,MIN(B102,Inputs!$E$39)-MAX(Inputs!$E$37,C102))*Inputs!$E$40+MAX(0,B102-MAX(Inputs!$E$39,C102))*Inputs!$E$41</f>
        <v/>
      </c>
      <c r="O102" s="57">
        <f>(B102*(Inputs!$F$16-Inputs!$F$20/10000)+N102)/B102</f>
        <v/>
      </c>
      <c r="P102" s="56">
        <f>B102*Inputs!$F$20/10000+(B102/Inputs!$F$22*Inputs!$F$23+B102*Inputs!$F$25)*(Inputs!$F$13-Inputs!$F$14*O102)+Inputs!$F$27*Inputs!$F$28*Inputs!$F$29*(1+Inputs!$F$30*Inputs!$F$31/12)/Inputs!$F$31</f>
        <v/>
      </c>
      <c r="Q102" s="58">
        <f>P102-N102</f>
        <v/>
      </c>
      <c r="R102" s="59">
        <f>IF(Q102&gt;=0,1,0)</f>
        <v/>
      </c>
    </row>
    <row r="103">
      <c r="A103" s="60">
        <f>A102+5000</f>
        <v/>
      </c>
      <c r="B103" s="56">
        <f>A103*Inputs!$E$6</f>
        <v/>
      </c>
      <c r="C103" s="56">
        <f>MIN(B103,Inputs!$E$34)</f>
        <v/>
      </c>
      <c r="D103" s="56">
        <f>Inputs!$E$33+MAX(0,MIN(B103,Inputs!$E$35)-MAX(0,C103))*Inputs!$E$36+MAX(0,MIN(B103,Inputs!$E$37)-MAX(Inputs!$E$35,C103))*Inputs!$E$38+MAX(0,MIN(B103,Inputs!$E$39)-MAX(Inputs!$E$37,C103))*Inputs!$E$40+MAX(0,B103-MAX(Inputs!$E$39,C103))*Inputs!$E$41</f>
        <v/>
      </c>
      <c r="E103" s="57">
        <f>(B103*(Inputs!$D$16-Inputs!$D$20/10000)+D103)/B103</f>
        <v/>
      </c>
      <c r="F103" s="56">
        <f>B103*Inputs!$D$20/10000+(B103/Inputs!$D$22*Inputs!$D$23+B103*Inputs!$D$25)*(Inputs!$D$13-Inputs!$D$14*E103)+Inputs!$D$27*Inputs!$D$28*Inputs!$D$29*(1+Inputs!$D$30*Inputs!$D$31/12)/Inputs!$D$31</f>
        <v/>
      </c>
      <c r="G103" s="58">
        <f>F103-D103</f>
        <v/>
      </c>
      <c r="H103" s="59">
        <f>IF(G103&gt;=0,1,0)</f>
        <v/>
      </c>
      <c r="I103" s="56">
        <f>Inputs!$E$33+MAX(0,MIN(B103,Inputs!$E$35)-MAX(0,C103))*Inputs!$E$36+MAX(0,MIN(B103,Inputs!$E$37)-MAX(Inputs!$E$35,C103))*Inputs!$E$38+MAX(0,MIN(B103,Inputs!$E$39)-MAX(Inputs!$E$37,C103))*Inputs!$E$40+MAX(0,B103-MAX(Inputs!$E$39,C103))*Inputs!$E$41</f>
        <v/>
      </c>
      <c r="J103" s="57">
        <f>(B103*(Inputs!$E$16-Inputs!$E$20/10000)+I103)/B103</f>
        <v/>
      </c>
      <c r="K103" s="56">
        <f>B103*Inputs!$E$20/10000+(B103/Inputs!$E$22*Inputs!$E$23+B103*Inputs!$E$25)*(Inputs!$E$13-Inputs!$E$14*J103)+Inputs!$E$27*Inputs!$E$28*Inputs!$E$29*(1+Inputs!$E$30*Inputs!$E$31/12)/Inputs!$E$31</f>
        <v/>
      </c>
      <c r="L103" s="58">
        <f>K103-I103</f>
        <v/>
      </c>
      <c r="M103" s="59">
        <f>IF(L103&gt;=0,1,0)</f>
        <v/>
      </c>
      <c r="N103" s="56">
        <f>Inputs!$E$33+MAX(0,MIN(B103,Inputs!$E$35)-MAX(0,C103))*Inputs!$E$36+MAX(0,MIN(B103,Inputs!$E$37)-MAX(Inputs!$E$35,C103))*Inputs!$E$38+MAX(0,MIN(B103,Inputs!$E$39)-MAX(Inputs!$E$37,C103))*Inputs!$E$40+MAX(0,B103-MAX(Inputs!$E$39,C103))*Inputs!$E$41</f>
        <v/>
      </c>
      <c r="O103" s="57">
        <f>(B103*(Inputs!$F$16-Inputs!$F$20/10000)+N103)/B103</f>
        <v/>
      </c>
      <c r="P103" s="56">
        <f>B103*Inputs!$F$20/10000+(B103/Inputs!$F$22*Inputs!$F$23+B103*Inputs!$F$25)*(Inputs!$F$13-Inputs!$F$14*O103)+Inputs!$F$27*Inputs!$F$28*Inputs!$F$29*(1+Inputs!$F$30*Inputs!$F$31/12)/Inputs!$F$31</f>
        <v/>
      </c>
      <c r="Q103" s="58">
        <f>P103-N103</f>
        <v/>
      </c>
      <c r="R103" s="59">
        <f>IF(Q103&gt;=0,1,0)</f>
        <v/>
      </c>
    </row>
    <row r="104">
      <c r="A104" s="60">
        <f>A103+5000</f>
        <v/>
      </c>
      <c r="B104" s="56">
        <f>A104*Inputs!$E$6</f>
        <v/>
      </c>
      <c r="C104" s="56">
        <f>MIN(B104,Inputs!$E$34)</f>
        <v/>
      </c>
      <c r="D104" s="56">
        <f>Inputs!$E$33+MAX(0,MIN(B104,Inputs!$E$35)-MAX(0,C104))*Inputs!$E$36+MAX(0,MIN(B104,Inputs!$E$37)-MAX(Inputs!$E$35,C104))*Inputs!$E$38+MAX(0,MIN(B104,Inputs!$E$39)-MAX(Inputs!$E$37,C104))*Inputs!$E$40+MAX(0,B104-MAX(Inputs!$E$39,C104))*Inputs!$E$41</f>
        <v/>
      </c>
      <c r="E104" s="57">
        <f>(B104*(Inputs!$D$16-Inputs!$D$20/10000)+D104)/B104</f>
        <v/>
      </c>
      <c r="F104" s="56">
        <f>B104*Inputs!$D$20/10000+(B104/Inputs!$D$22*Inputs!$D$23+B104*Inputs!$D$25)*(Inputs!$D$13-Inputs!$D$14*E104)+Inputs!$D$27*Inputs!$D$28*Inputs!$D$29*(1+Inputs!$D$30*Inputs!$D$31/12)/Inputs!$D$31</f>
        <v/>
      </c>
      <c r="G104" s="58">
        <f>F104-D104</f>
        <v/>
      </c>
      <c r="H104" s="59">
        <f>IF(G104&gt;=0,1,0)</f>
        <v/>
      </c>
      <c r="I104" s="56">
        <f>Inputs!$E$33+MAX(0,MIN(B104,Inputs!$E$35)-MAX(0,C104))*Inputs!$E$36+MAX(0,MIN(B104,Inputs!$E$37)-MAX(Inputs!$E$35,C104))*Inputs!$E$38+MAX(0,MIN(B104,Inputs!$E$39)-MAX(Inputs!$E$37,C104))*Inputs!$E$40+MAX(0,B104-MAX(Inputs!$E$39,C104))*Inputs!$E$41</f>
        <v/>
      </c>
      <c r="J104" s="57">
        <f>(B104*(Inputs!$E$16-Inputs!$E$20/10000)+I104)/B104</f>
        <v/>
      </c>
      <c r="K104" s="56">
        <f>B104*Inputs!$E$20/10000+(B104/Inputs!$E$22*Inputs!$E$23+B104*Inputs!$E$25)*(Inputs!$E$13-Inputs!$E$14*J104)+Inputs!$E$27*Inputs!$E$28*Inputs!$E$29*(1+Inputs!$E$30*Inputs!$E$31/12)/Inputs!$E$31</f>
        <v/>
      </c>
      <c r="L104" s="58">
        <f>K104-I104</f>
        <v/>
      </c>
      <c r="M104" s="59">
        <f>IF(L104&gt;=0,1,0)</f>
        <v/>
      </c>
      <c r="N104" s="56">
        <f>Inputs!$E$33+MAX(0,MIN(B104,Inputs!$E$35)-MAX(0,C104))*Inputs!$E$36+MAX(0,MIN(B104,Inputs!$E$37)-MAX(Inputs!$E$35,C104))*Inputs!$E$38+MAX(0,MIN(B104,Inputs!$E$39)-MAX(Inputs!$E$37,C104))*Inputs!$E$40+MAX(0,B104-MAX(Inputs!$E$39,C104))*Inputs!$E$41</f>
        <v/>
      </c>
      <c r="O104" s="57">
        <f>(B104*(Inputs!$F$16-Inputs!$F$20/10000)+N104)/B104</f>
        <v/>
      </c>
      <c r="P104" s="56">
        <f>B104*Inputs!$F$20/10000+(B104/Inputs!$F$22*Inputs!$F$23+B104*Inputs!$F$25)*(Inputs!$F$13-Inputs!$F$14*O104)+Inputs!$F$27*Inputs!$F$28*Inputs!$F$29*(1+Inputs!$F$30*Inputs!$F$31/12)/Inputs!$F$31</f>
        <v/>
      </c>
      <c r="Q104" s="58">
        <f>P104-N104</f>
        <v/>
      </c>
      <c r="R104" s="59">
        <f>IF(Q104&gt;=0,1,0)</f>
        <v/>
      </c>
    </row>
    <row r="105">
      <c r="A105" s="60">
        <f>A104+5000</f>
        <v/>
      </c>
      <c r="B105" s="56">
        <f>A105*Inputs!$E$6</f>
        <v/>
      </c>
      <c r="C105" s="56">
        <f>MIN(B105,Inputs!$E$34)</f>
        <v/>
      </c>
      <c r="D105" s="56">
        <f>Inputs!$E$33+MAX(0,MIN(B105,Inputs!$E$35)-MAX(0,C105))*Inputs!$E$36+MAX(0,MIN(B105,Inputs!$E$37)-MAX(Inputs!$E$35,C105))*Inputs!$E$38+MAX(0,MIN(B105,Inputs!$E$39)-MAX(Inputs!$E$37,C105))*Inputs!$E$40+MAX(0,B105-MAX(Inputs!$E$39,C105))*Inputs!$E$41</f>
        <v/>
      </c>
      <c r="E105" s="57">
        <f>(B105*(Inputs!$D$16-Inputs!$D$20/10000)+D105)/B105</f>
        <v/>
      </c>
      <c r="F105" s="56">
        <f>B105*Inputs!$D$20/10000+(B105/Inputs!$D$22*Inputs!$D$23+B105*Inputs!$D$25)*(Inputs!$D$13-Inputs!$D$14*E105)+Inputs!$D$27*Inputs!$D$28*Inputs!$D$29*(1+Inputs!$D$30*Inputs!$D$31/12)/Inputs!$D$31</f>
        <v/>
      </c>
      <c r="G105" s="58">
        <f>F105-D105</f>
        <v/>
      </c>
      <c r="H105" s="59">
        <f>IF(G105&gt;=0,1,0)</f>
        <v/>
      </c>
      <c r="I105" s="56">
        <f>Inputs!$E$33+MAX(0,MIN(B105,Inputs!$E$35)-MAX(0,C105))*Inputs!$E$36+MAX(0,MIN(B105,Inputs!$E$37)-MAX(Inputs!$E$35,C105))*Inputs!$E$38+MAX(0,MIN(B105,Inputs!$E$39)-MAX(Inputs!$E$37,C105))*Inputs!$E$40+MAX(0,B105-MAX(Inputs!$E$39,C105))*Inputs!$E$41</f>
        <v/>
      </c>
      <c r="J105" s="57">
        <f>(B105*(Inputs!$E$16-Inputs!$E$20/10000)+I105)/B105</f>
        <v/>
      </c>
      <c r="K105" s="56">
        <f>B105*Inputs!$E$20/10000+(B105/Inputs!$E$22*Inputs!$E$23+B105*Inputs!$E$25)*(Inputs!$E$13-Inputs!$E$14*J105)+Inputs!$E$27*Inputs!$E$28*Inputs!$E$29*(1+Inputs!$E$30*Inputs!$E$31/12)/Inputs!$E$31</f>
        <v/>
      </c>
      <c r="L105" s="58">
        <f>K105-I105</f>
        <v/>
      </c>
      <c r="M105" s="59">
        <f>IF(L105&gt;=0,1,0)</f>
        <v/>
      </c>
      <c r="N105" s="56">
        <f>Inputs!$E$33+MAX(0,MIN(B105,Inputs!$E$35)-MAX(0,C105))*Inputs!$E$36+MAX(0,MIN(B105,Inputs!$E$37)-MAX(Inputs!$E$35,C105))*Inputs!$E$38+MAX(0,MIN(B105,Inputs!$E$39)-MAX(Inputs!$E$37,C105))*Inputs!$E$40+MAX(0,B105-MAX(Inputs!$E$39,C105))*Inputs!$E$41</f>
        <v/>
      </c>
      <c r="O105" s="57">
        <f>(B105*(Inputs!$F$16-Inputs!$F$20/10000)+N105)/B105</f>
        <v/>
      </c>
      <c r="P105" s="56">
        <f>B105*Inputs!$F$20/10000+(B105/Inputs!$F$22*Inputs!$F$23+B105*Inputs!$F$25)*(Inputs!$F$13-Inputs!$F$14*O105)+Inputs!$F$27*Inputs!$F$28*Inputs!$F$29*(1+Inputs!$F$30*Inputs!$F$31/12)/Inputs!$F$31</f>
        <v/>
      </c>
      <c r="Q105" s="58">
        <f>P105-N105</f>
        <v/>
      </c>
      <c r="R105" s="59">
        <f>IF(Q105&gt;=0,1,0)</f>
        <v/>
      </c>
    </row>
    <row r="106">
      <c r="A106" s="60">
        <f>A105+5000</f>
        <v/>
      </c>
      <c r="B106" s="56">
        <f>A106*Inputs!$E$6</f>
        <v/>
      </c>
      <c r="C106" s="56">
        <f>MIN(B106,Inputs!$E$34)</f>
        <v/>
      </c>
      <c r="D106" s="56">
        <f>Inputs!$E$33+MAX(0,MIN(B106,Inputs!$E$35)-MAX(0,C106))*Inputs!$E$36+MAX(0,MIN(B106,Inputs!$E$37)-MAX(Inputs!$E$35,C106))*Inputs!$E$38+MAX(0,MIN(B106,Inputs!$E$39)-MAX(Inputs!$E$37,C106))*Inputs!$E$40+MAX(0,B106-MAX(Inputs!$E$39,C106))*Inputs!$E$41</f>
        <v/>
      </c>
      <c r="E106" s="57">
        <f>(B106*(Inputs!$D$16-Inputs!$D$20/10000)+D106)/B106</f>
        <v/>
      </c>
      <c r="F106" s="56">
        <f>B106*Inputs!$D$20/10000+(B106/Inputs!$D$22*Inputs!$D$23+B106*Inputs!$D$25)*(Inputs!$D$13-Inputs!$D$14*E106)+Inputs!$D$27*Inputs!$D$28*Inputs!$D$29*(1+Inputs!$D$30*Inputs!$D$31/12)/Inputs!$D$31</f>
        <v/>
      </c>
      <c r="G106" s="58">
        <f>F106-D106</f>
        <v/>
      </c>
      <c r="H106" s="59">
        <f>IF(G106&gt;=0,1,0)</f>
        <v/>
      </c>
      <c r="I106" s="56">
        <f>Inputs!$E$33+MAX(0,MIN(B106,Inputs!$E$35)-MAX(0,C106))*Inputs!$E$36+MAX(0,MIN(B106,Inputs!$E$37)-MAX(Inputs!$E$35,C106))*Inputs!$E$38+MAX(0,MIN(B106,Inputs!$E$39)-MAX(Inputs!$E$37,C106))*Inputs!$E$40+MAX(0,B106-MAX(Inputs!$E$39,C106))*Inputs!$E$41</f>
        <v/>
      </c>
      <c r="J106" s="57">
        <f>(B106*(Inputs!$E$16-Inputs!$E$20/10000)+I106)/B106</f>
        <v/>
      </c>
      <c r="K106" s="56">
        <f>B106*Inputs!$E$20/10000+(B106/Inputs!$E$22*Inputs!$E$23+B106*Inputs!$E$25)*(Inputs!$E$13-Inputs!$E$14*J106)+Inputs!$E$27*Inputs!$E$28*Inputs!$E$29*(1+Inputs!$E$30*Inputs!$E$31/12)/Inputs!$E$31</f>
        <v/>
      </c>
      <c r="L106" s="58">
        <f>K106-I106</f>
        <v/>
      </c>
      <c r="M106" s="59">
        <f>IF(L106&gt;=0,1,0)</f>
        <v/>
      </c>
      <c r="N106" s="56">
        <f>Inputs!$E$33+MAX(0,MIN(B106,Inputs!$E$35)-MAX(0,C106))*Inputs!$E$36+MAX(0,MIN(B106,Inputs!$E$37)-MAX(Inputs!$E$35,C106))*Inputs!$E$38+MAX(0,MIN(B106,Inputs!$E$39)-MAX(Inputs!$E$37,C106))*Inputs!$E$40+MAX(0,B106-MAX(Inputs!$E$39,C106))*Inputs!$E$41</f>
        <v/>
      </c>
      <c r="O106" s="57">
        <f>(B106*(Inputs!$F$16-Inputs!$F$20/10000)+N106)/B106</f>
        <v/>
      </c>
      <c r="P106" s="56">
        <f>B106*Inputs!$F$20/10000+(B106/Inputs!$F$22*Inputs!$F$23+B106*Inputs!$F$25)*(Inputs!$F$13-Inputs!$F$14*O106)+Inputs!$F$27*Inputs!$F$28*Inputs!$F$29*(1+Inputs!$F$30*Inputs!$F$31/12)/Inputs!$F$31</f>
        <v/>
      </c>
      <c r="Q106" s="58">
        <f>P106-N106</f>
        <v/>
      </c>
      <c r="R106" s="59">
        <f>IF(Q106&gt;=0,1,0)</f>
        <v/>
      </c>
    </row>
    <row r="107">
      <c r="A107" s="60">
        <f>A106+5000</f>
        <v/>
      </c>
      <c r="B107" s="56">
        <f>A107*Inputs!$E$6</f>
        <v/>
      </c>
      <c r="C107" s="56">
        <f>MIN(B107,Inputs!$E$34)</f>
        <v/>
      </c>
      <c r="D107" s="56">
        <f>Inputs!$E$33+MAX(0,MIN(B107,Inputs!$E$35)-MAX(0,C107))*Inputs!$E$36+MAX(0,MIN(B107,Inputs!$E$37)-MAX(Inputs!$E$35,C107))*Inputs!$E$38+MAX(0,MIN(B107,Inputs!$E$39)-MAX(Inputs!$E$37,C107))*Inputs!$E$40+MAX(0,B107-MAX(Inputs!$E$39,C107))*Inputs!$E$41</f>
        <v/>
      </c>
      <c r="E107" s="57">
        <f>(B107*(Inputs!$D$16-Inputs!$D$20/10000)+D107)/B107</f>
        <v/>
      </c>
      <c r="F107" s="56">
        <f>B107*Inputs!$D$20/10000+(B107/Inputs!$D$22*Inputs!$D$23+B107*Inputs!$D$25)*(Inputs!$D$13-Inputs!$D$14*E107)+Inputs!$D$27*Inputs!$D$28*Inputs!$D$29*(1+Inputs!$D$30*Inputs!$D$31/12)/Inputs!$D$31</f>
        <v/>
      </c>
      <c r="G107" s="58">
        <f>F107-D107</f>
        <v/>
      </c>
      <c r="H107" s="59">
        <f>IF(G107&gt;=0,1,0)</f>
        <v/>
      </c>
      <c r="I107" s="56">
        <f>Inputs!$E$33+MAX(0,MIN(B107,Inputs!$E$35)-MAX(0,C107))*Inputs!$E$36+MAX(0,MIN(B107,Inputs!$E$37)-MAX(Inputs!$E$35,C107))*Inputs!$E$38+MAX(0,MIN(B107,Inputs!$E$39)-MAX(Inputs!$E$37,C107))*Inputs!$E$40+MAX(0,B107-MAX(Inputs!$E$39,C107))*Inputs!$E$41</f>
        <v/>
      </c>
      <c r="J107" s="57">
        <f>(B107*(Inputs!$E$16-Inputs!$E$20/10000)+I107)/B107</f>
        <v/>
      </c>
      <c r="K107" s="56">
        <f>B107*Inputs!$E$20/10000+(B107/Inputs!$E$22*Inputs!$E$23+B107*Inputs!$E$25)*(Inputs!$E$13-Inputs!$E$14*J107)+Inputs!$E$27*Inputs!$E$28*Inputs!$E$29*(1+Inputs!$E$30*Inputs!$E$31/12)/Inputs!$E$31</f>
        <v/>
      </c>
      <c r="L107" s="58">
        <f>K107-I107</f>
        <v/>
      </c>
      <c r="M107" s="59">
        <f>IF(L107&gt;=0,1,0)</f>
        <v/>
      </c>
      <c r="N107" s="56">
        <f>Inputs!$E$33+MAX(0,MIN(B107,Inputs!$E$35)-MAX(0,C107))*Inputs!$E$36+MAX(0,MIN(B107,Inputs!$E$37)-MAX(Inputs!$E$35,C107))*Inputs!$E$38+MAX(0,MIN(B107,Inputs!$E$39)-MAX(Inputs!$E$37,C107))*Inputs!$E$40+MAX(0,B107-MAX(Inputs!$E$39,C107))*Inputs!$E$41</f>
        <v/>
      </c>
      <c r="O107" s="57">
        <f>(B107*(Inputs!$F$16-Inputs!$F$20/10000)+N107)/B107</f>
        <v/>
      </c>
      <c r="P107" s="56">
        <f>B107*Inputs!$F$20/10000+(B107/Inputs!$F$22*Inputs!$F$23+B107*Inputs!$F$25)*(Inputs!$F$13-Inputs!$F$14*O107)+Inputs!$F$27*Inputs!$F$28*Inputs!$F$29*(1+Inputs!$F$30*Inputs!$F$31/12)/Inputs!$F$31</f>
        <v/>
      </c>
      <c r="Q107" s="58">
        <f>P107-N107</f>
        <v/>
      </c>
      <c r="R107" s="59">
        <f>IF(Q107&gt;=0,1,0)</f>
        <v/>
      </c>
    </row>
    <row r="108">
      <c r="A108" s="60">
        <f>A107+5000</f>
        <v/>
      </c>
      <c r="B108" s="56">
        <f>A108*Inputs!$E$6</f>
        <v/>
      </c>
      <c r="C108" s="56">
        <f>MIN(B108,Inputs!$E$34)</f>
        <v/>
      </c>
      <c r="D108" s="56">
        <f>Inputs!$E$33+MAX(0,MIN(B108,Inputs!$E$35)-MAX(0,C108))*Inputs!$E$36+MAX(0,MIN(B108,Inputs!$E$37)-MAX(Inputs!$E$35,C108))*Inputs!$E$38+MAX(0,MIN(B108,Inputs!$E$39)-MAX(Inputs!$E$37,C108))*Inputs!$E$40+MAX(0,B108-MAX(Inputs!$E$39,C108))*Inputs!$E$41</f>
        <v/>
      </c>
      <c r="E108" s="57">
        <f>(B108*(Inputs!$D$16-Inputs!$D$20/10000)+D108)/B108</f>
        <v/>
      </c>
      <c r="F108" s="56">
        <f>B108*Inputs!$D$20/10000+(B108/Inputs!$D$22*Inputs!$D$23+B108*Inputs!$D$25)*(Inputs!$D$13-Inputs!$D$14*E108)+Inputs!$D$27*Inputs!$D$28*Inputs!$D$29*(1+Inputs!$D$30*Inputs!$D$31/12)/Inputs!$D$31</f>
        <v/>
      </c>
      <c r="G108" s="58">
        <f>F108-D108</f>
        <v/>
      </c>
      <c r="H108" s="59">
        <f>IF(G108&gt;=0,1,0)</f>
        <v/>
      </c>
      <c r="I108" s="56">
        <f>Inputs!$E$33+MAX(0,MIN(B108,Inputs!$E$35)-MAX(0,C108))*Inputs!$E$36+MAX(0,MIN(B108,Inputs!$E$37)-MAX(Inputs!$E$35,C108))*Inputs!$E$38+MAX(0,MIN(B108,Inputs!$E$39)-MAX(Inputs!$E$37,C108))*Inputs!$E$40+MAX(0,B108-MAX(Inputs!$E$39,C108))*Inputs!$E$41</f>
        <v/>
      </c>
      <c r="J108" s="57">
        <f>(B108*(Inputs!$E$16-Inputs!$E$20/10000)+I108)/B108</f>
        <v/>
      </c>
      <c r="K108" s="56">
        <f>B108*Inputs!$E$20/10000+(B108/Inputs!$E$22*Inputs!$E$23+B108*Inputs!$E$25)*(Inputs!$E$13-Inputs!$E$14*J108)+Inputs!$E$27*Inputs!$E$28*Inputs!$E$29*(1+Inputs!$E$30*Inputs!$E$31/12)/Inputs!$E$31</f>
        <v/>
      </c>
      <c r="L108" s="58">
        <f>K108-I108</f>
        <v/>
      </c>
      <c r="M108" s="59">
        <f>IF(L108&gt;=0,1,0)</f>
        <v/>
      </c>
      <c r="N108" s="56">
        <f>Inputs!$E$33+MAX(0,MIN(B108,Inputs!$E$35)-MAX(0,C108))*Inputs!$E$36+MAX(0,MIN(B108,Inputs!$E$37)-MAX(Inputs!$E$35,C108))*Inputs!$E$38+MAX(0,MIN(B108,Inputs!$E$39)-MAX(Inputs!$E$37,C108))*Inputs!$E$40+MAX(0,B108-MAX(Inputs!$E$39,C108))*Inputs!$E$41</f>
        <v/>
      </c>
      <c r="O108" s="57">
        <f>(B108*(Inputs!$F$16-Inputs!$F$20/10000)+N108)/B108</f>
        <v/>
      </c>
      <c r="P108" s="56">
        <f>B108*Inputs!$F$20/10000+(B108/Inputs!$F$22*Inputs!$F$23+B108*Inputs!$F$25)*(Inputs!$F$13-Inputs!$F$14*O108)+Inputs!$F$27*Inputs!$F$28*Inputs!$F$29*(1+Inputs!$F$30*Inputs!$F$31/12)/Inputs!$F$31</f>
        <v/>
      </c>
      <c r="Q108" s="58">
        <f>P108-N108</f>
        <v/>
      </c>
      <c r="R108" s="59">
        <f>IF(Q108&gt;=0,1,0)</f>
        <v/>
      </c>
    </row>
    <row r="109">
      <c r="A109" s="60">
        <f>A108+5000</f>
        <v/>
      </c>
      <c r="B109" s="56">
        <f>A109*Inputs!$E$6</f>
        <v/>
      </c>
      <c r="C109" s="56">
        <f>MIN(B109,Inputs!$E$34)</f>
        <v/>
      </c>
      <c r="D109" s="56">
        <f>Inputs!$E$33+MAX(0,MIN(B109,Inputs!$E$35)-MAX(0,C109))*Inputs!$E$36+MAX(0,MIN(B109,Inputs!$E$37)-MAX(Inputs!$E$35,C109))*Inputs!$E$38+MAX(0,MIN(B109,Inputs!$E$39)-MAX(Inputs!$E$37,C109))*Inputs!$E$40+MAX(0,B109-MAX(Inputs!$E$39,C109))*Inputs!$E$41</f>
        <v/>
      </c>
      <c r="E109" s="57">
        <f>(B109*(Inputs!$D$16-Inputs!$D$20/10000)+D109)/B109</f>
        <v/>
      </c>
      <c r="F109" s="56">
        <f>B109*Inputs!$D$20/10000+(B109/Inputs!$D$22*Inputs!$D$23+B109*Inputs!$D$25)*(Inputs!$D$13-Inputs!$D$14*E109)+Inputs!$D$27*Inputs!$D$28*Inputs!$D$29*(1+Inputs!$D$30*Inputs!$D$31/12)/Inputs!$D$31</f>
        <v/>
      </c>
      <c r="G109" s="58">
        <f>F109-D109</f>
        <v/>
      </c>
      <c r="H109" s="59">
        <f>IF(G109&gt;=0,1,0)</f>
        <v/>
      </c>
      <c r="I109" s="56">
        <f>Inputs!$E$33+MAX(0,MIN(B109,Inputs!$E$35)-MAX(0,C109))*Inputs!$E$36+MAX(0,MIN(B109,Inputs!$E$37)-MAX(Inputs!$E$35,C109))*Inputs!$E$38+MAX(0,MIN(B109,Inputs!$E$39)-MAX(Inputs!$E$37,C109))*Inputs!$E$40+MAX(0,B109-MAX(Inputs!$E$39,C109))*Inputs!$E$41</f>
        <v/>
      </c>
      <c r="J109" s="57">
        <f>(B109*(Inputs!$E$16-Inputs!$E$20/10000)+I109)/B109</f>
        <v/>
      </c>
      <c r="K109" s="56">
        <f>B109*Inputs!$E$20/10000+(B109/Inputs!$E$22*Inputs!$E$23+B109*Inputs!$E$25)*(Inputs!$E$13-Inputs!$E$14*J109)+Inputs!$E$27*Inputs!$E$28*Inputs!$E$29*(1+Inputs!$E$30*Inputs!$E$31/12)/Inputs!$E$31</f>
        <v/>
      </c>
      <c r="L109" s="58">
        <f>K109-I109</f>
        <v/>
      </c>
      <c r="M109" s="59">
        <f>IF(L109&gt;=0,1,0)</f>
        <v/>
      </c>
      <c r="N109" s="56">
        <f>Inputs!$E$33+MAX(0,MIN(B109,Inputs!$E$35)-MAX(0,C109))*Inputs!$E$36+MAX(0,MIN(B109,Inputs!$E$37)-MAX(Inputs!$E$35,C109))*Inputs!$E$38+MAX(0,MIN(B109,Inputs!$E$39)-MAX(Inputs!$E$37,C109))*Inputs!$E$40+MAX(0,B109-MAX(Inputs!$E$39,C109))*Inputs!$E$41</f>
        <v/>
      </c>
      <c r="O109" s="57">
        <f>(B109*(Inputs!$F$16-Inputs!$F$20/10000)+N109)/B109</f>
        <v/>
      </c>
      <c r="P109" s="56">
        <f>B109*Inputs!$F$20/10000+(B109/Inputs!$F$22*Inputs!$F$23+B109*Inputs!$F$25)*(Inputs!$F$13-Inputs!$F$14*O109)+Inputs!$F$27*Inputs!$F$28*Inputs!$F$29*(1+Inputs!$F$30*Inputs!$F$31/12)/Inputs!$F$31</f>
        <v/>
      </c>
      <c r="Q109" s="58">
        <f>P109-N109</f>
        <v/>
      </c>
      <c r="R109" s="59">
        <f>IF(Q109&gt;=0,1,0)</f>
        <v/>
      </c>
    </row>
    <row r="110">
      <c r="A110" s="60">
        <f>A109+5000</f>
        <v/>
      </c>
      <c r="B110" s="56">
        <f>A110*Inputs!$E$6</f>
        <v/>
      </c>
      <c r="C110" s="56">
        <f>MIN(B110,Inputs!$E$34)</f>
        <v/>
      </c>
      <c r="D110" s="56">
        <f>Inputs!$E$33+MAX(0,MIN(B110,Inputs!$E$35)-MAX(0,C110))*Inputs!$E$36+MAX(0,MIN(B110,Inputs!$E$37)-MAX(Inputs!$E$35,C110))*Inputs!$E$38+MAX(0,MIN(B110,Inputs!$E$39)-MAX(Inputs!$E$37,C110))*Inputs!$E$40+MAX(0,B110-MAX(Inputs!$E$39,C110))*Inputs!$E$41</f>
        <v/>
      </c>
      <c r="E110" s="57">
        <f>(B110*(Inputs!$D$16-Inputs!$D$20/10000)+D110)/B110</f>
        <v/>
      </c>
      <c r="F110" s="56">
        <f>B110*Inputs!$D$20/10000+(B110/Inputs!$D$22*Inputs!$D$23+B110*Inputs!$D$25)*(Inputs!$D$13-Inputs!$D$14*E110)+Inputs!$D$27*Inputs!$D$28*Inputs!$D$29*(1+Inputs!$D$30*Inputs!$D$31/12)/Inputs!$D$31</f>
        <v/>
      </c>
      <c r="G110" s="58">
        <f>F110-D110</f>
        <v/>
      </c>
      <c r="H110" s="59">
        <f>IF(G110&gt;=0,1,0)</f>
        <v/>
      </c>
      <c r="I110" s="56">
        <f>Inputs!$E$33+MAX(0,MIN(B110,Inputs!$E$35)-MAX(0,C110))*Inputs!$E$36+MAX(0,MIN(B110,Inputs!$E$37)-MAX(Inputs!$E$35,C110))*Inputs!$E$38+MAX(0,MIN(B110,Inputs!$E$39)-MAX(Inputs!$E$37,C110))*Inputs!$E$40+MAX(0,B110-MAX(Inputs!$E$39,C110))*Inputs!$E$41</f>
        <v/>
      </c>
      <c r="J110" s="57">
        <f>(B110*(Inputs!$E$16-Inputs!$E$20/10000)+I110)/B110</f>
        <v/>
      </c>
      <c r="K110" s="56">
        <f>B110*Inputs!$E$20/10000+(B110/Inputs!$E$22*Inputs!$E$23+B110*Inputs!$E$25)*(Inputs!$E$13-Inputs!$E$14*J110)+Inputs!$E$27*Inputs!$E$28*Inputs!$E$29*(1+Inputs!$E$30*Inputs!$E$31/12)/Inputs!$E$31</f>
        <v/>
      </c>
      <c r="L110" s="58">
        <f>K110-I110</f>
        <v/>
      </c>
      <c r="M110" s="59">
        <f>IF(L110&gt;=0,1,0)</f>
        <v/>
      </c>
      <c r="N110" s="56">
        <f>Inputs!$E$33+MAX(0,MIN(B110,Inputs!$E$35)-MAX(0,C110))*Inputs!$E$36+MAX(0,MIN(B110,Inputs!$E$37)-MAX(Inputs!$E$35,C110))*Inputs!$E$38+MAX(0,MIN(B110,Inputs!$E$39)-MAX(Inputs!$E$37,C110))*Inputs!$E$40+MAX(0,B110-MAX(Inputs!$E$39,C110))*Inputs!$E$41</f>
        <v/>
      </c>
      <c r="O110" s="57">
        <f>(B110*(Inputs!$F$16-Inputs!$F$20/10000)+N110)/B110</f>
        <v/>
      </c>
      <c r="P110" s="56">
        <f>B110*Inputs!$F$20/10000+(B110/Inputs!$F$22*Inputs!$F$23+B110*Inputs!$F$25)*(Inputs!$F$13-Inputs!$F$14*O110)+Inputs!$F$27*Inputs!$F$28*Inputs!$F$29*(1+Inputs!$F$30*Inputs!$F$31/12)/Inputs!$F$31</f>
        <v/>
      </c>
      <c r="Q110" s="58">
        <f>P110-N110</f>
        <v/>
      </c>
      <c r="R110" s="59">
        <f>IF(Q110&gt;=0,1,0)</f>
        <v/>
      </c>
    </row>
    <row r="111">
      <c r="A111" s="60">
        <f>A110+5000</f>
        <v/>
      </c>
      <c r="B111" s="56">
        <f>A111*Inputs!$E$6</f>
        <v/>
      </c>
      <c r="C111" s="56">
        <f>MIN(B111,Inputs!$E$34)</f>
        <v/>
      </c>
      <c r="D111" s="56">
        <f>Inputs!$E$33+MAX(0,MIN(B111,Inputs!$E$35)-MAX(0,C111))*Inputs!$E$36+MAX(0,MIN(B111,Inputs!$E$37)-MAX(Inputs!$E$35,C111))*Inputs!$E$38+MAX(0,MIN(B111,Inputs!$E$39)-MAX(Inputs!$E$37,C111))*Inputs!$E$40+MAX(0,B111-MAX(Inputs!$E$39,C111))*Inputs!$E$41</f>
        <v/>
      </c>
      <c r="E111" s="57">
        <f>(B111*(Inputs!$D$16-Inputs!$D$20/10000)+D111)/B111</f>
        <v/>
      </c>
      <c r="F111" s="56">
        <f>B111*Inputs!$D$20/10000+(B111/Inputs!$D$22*Inputs!$D$23+B111*Inputs!$D$25)*(Inputs!$D$13-Inputs!$D$14*E111)+Inputs!$D$27*Inputs!$D$28*Inputs!$D$29*(1+Inputs!$D$30*Inputs!$D$31/12)/Inputs!$D$31</f>
        <v/>
      </c>
      <c r="G111" s="58">
        <f>F111-D111</f>
        <v/>
      </c>
      <c r="H111" s="59">
        <f>IF(G111&gt;=0,1,0)</f>
        <v/>
      </c>
      <c r="I111" s="56">
        <f>Inputs!$E$33+MAX(0,MIN(B111,Inputs!$E$35)-MAX(0,C111))*Inputs!$E$36+MAX(0,MIN(B111,Inputs!$E$37)-MAX(Inputs!$E$35,C111))*Inputs!$E$38+MAX(0,MIN(B111,Inputs!$E$39)-MAX(Inputs!$E$37,C111))*Inputs!$E$40+MAX(0,B111-MAX(Inputs!$E$39,C111))*Inputs!$E$41</f>
        <v/>
      </c>
      <c r="J111" s="57">
        <f>(B111*(Inputs!$E$16-Inputs!$E$20/10000)+I111)/B111</f>
        <v/>
      </c>
      <c r="K111" s="56">
        <f>B111*Inputs!$E$20/10000+(B111/Inputs!$E$22*Inputs!$E$23+B111*Inputs!$E$25)*(Inputs!$E$13-Inputs!$E$14*J111)+Inputs!$E$27*Inputs!$E$28*Inputs!$E$29*(1+Inputs!$E$30*Inputs!$E$31/12)/Inputs!$E$31</f>
        <v/>
      </c>
      <c r="L111" s="58">
        <f>K111-I111</f>
        <v/>
      </c>
      <c r="M111" s="59">
        <f>IF(L111&gt;=0,1,0)</f>
        <v/>
      </c>
      <c r="N111" s="56">
        <f>Inputs!$E$33+MAX(0,MIN(B111,Inputs!$E$35)-MAX(0,C111))*Inputs!$E$36+MAX(0,MIN(B111,Inputs!$E$37)-MAX(Inputs!$E$35,C111))*Inputs!$E$38+MAX(0,MIN(B111,Inputs!$E$39)-MAX(Inputs!$E$37,C111))*Inputs!$E$40+MAX(0,B111-MAX(Inputs!$E$39,C111))*Inputs!$E$41</f>
        <v/>
      </c>
      <c r="O111" s="57">
        <f>(B111*(Inputs!$F$16-Inputs!$F$20/10000)+N111)/B111</f>
        <v/>
      </c>
      <c r="P111" s="56">
        <f>B111*Inputs!$F$20/10000+(B111/Inputs!$F$22*Inputs!$F$23+B111*Inputs!$F$25)*(Inputs!$F$13-Inputs!$F$14*O111)+Inputs!$F$27*Inputs!$F$28*Inputs!$F$29*(1+Inputs!$F$30*Inputs!$F$31/12)/Inputs!$F$31</f>
        <v/>
      </c>
      <c r="Q111" s="58">
        <f>P111-N111</f>
        <v/>
      </c>
      <c r="R111" s="59">
        <f>IF(Q111&gt;=0,1,0)</f>
        <v/>
      </c>
    </row>
  </sheetData>
  <mergeCells count="10">
    <mergeCell ref="A4:B4"/>
    <mergeCell ref="G4:H4"/>
    <mergeCell ref="E4:F4"/>
    <mergeCell ref="I4:J4"/>
    <mergeCell ref="A2:R2"/>
    <mergeCell ref="D10:H10"/>
    <mergeCell ref="I10:M10"/>
    <mergeCell ref="N10:R10"/>
    <mergeCell ref="A1:R1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6" customHeight="1">
      <c r="A1" s="1" t="inlineStr">
        <is>
          <t>Ramp · month by month from Black Friday 2026 to the end-2027 run rate (linear ESTIMATE) and 12 months at run rate</t>
        </is>
      </c>
    </row>
    <row r="2" ht="15.75" customHeight="1">
      <c r="A2" s="2" t="inlineStr">
        <is>
          <t>Payback month = first month in which the cumulative net benefit (contribution view) is non-negative. The INTERNAL launch credit switch (Inputs section 9) applies on this sheet only; default off.</t>
        </is>
      </c>
    </row>
    <row r="3" ht="9.75" customHeight="1"/>
    <row r="4" ht="18" customHeight="1">
      <c r="A4" s="6" t="inlineStr">
        <is>
          <t>Scenario</t>
        </is>
      </c>
      <c r="C4" s="6" t="inlineStr">
        <is>
          <t>Payback month (cumulative &gt;= 0)</t>
        </is>
      </c>
      <c r="E4" s="6" t="inlineStr">
        <is>
          <t>Cumulative net over the ramp</t>
        </is>
      </c>
      <c r="G4" s="6" t="inlineStr">
        <is>
          <t>Yuno cost over the ramp</t>
        </is>
      </c>
      <c r="I4" s="6" t="inlineStr">
        <is>
          <t>Net a year at run rate (x12)</t>
        </is>
      </c>
    </row>
    <row r="5">
      <c r="A5" s="15" t="inlineStr">
        <is>
          <t>Conservative</t>
        </is>
      </c>
      <c r="C5" s="61">
        <f>IFERROR(INDEX($A$12:$A$24,MATCH(1,I12:I24,0)),"not within the ramp")</f>
        <v/>
      </c>
      <c r="E5" s="11">
        <f>H24</f>
        <v/>
      </c>
      <c r="G5" s="11">
        <f>E25</f>
        <v/>
      </c>
      <c r="I5" s="44">
        <f>Model!E48</f>
        <v/>
      </c>
    </row>
    <row r="6">
      <c r="A6" s="15" t="inlineStr">
        <is>
          <t>Base</t>
        </is>
      </c>
      <c r="C6" s="61">
        <f>IFERROR(INDEX($A$12:$A$24,MATCH(1,N12:N24,0)),"not within the ramp")</f>
        <v/>
      </c>
      <c r="E6" s="11">
        <f>M24</f>
        <v/>
      </c>
      <c r="G6" s="11">
        <f>J25</f>
        <v/>
      </c>
      <c r="I6" s="44">
        <f>Model!I48</f>
        <v/>
      </c>
    </row>
    <row r="7">
      <c r="A7" s="15" t="inlineStr">
        <is>
          <t>Optimistic</t>
        </is>
      </c>
      <c r="C7" s="61">
        <f>IFERROR(INDEX($A$12:$A$24,MATCH(1,S12:S24,0)),"not within the ramp")</f>
        <v/>
      </c>
      <c r="E7" s="11">
        <f>R24</f>
        <v/>
      </c>
      <c r="G7" s="11">
        <f>O25</f>
        <v/>
      </c>
      <c r="I7" s="44">
        <f>Model!M48</f>
        <v/>
      </c>
    </row>
    <row r="9">
      <c r="A9" s="43" t="inlineStr">
        <is>
          <t>Ramp is a Yuno ESTIMATE (linear from tier 1 to tier 4 over the ramp months on Inputs). Replace the Transactions column with Cordel's written projections when they arrive.</t>
        </is>
      </c>
    </row>
    <row r="10" ht="18" customHeight="1">
      <c r="E10" s="6" t="inlineStr">
        <is>
          <t>Conservative</t>
        </is>
      </c>
      <c r="J10" s="19" t="inlineStr">
        <is>
          <t>Base</t>
        </is>
      </c>
      <c r="O10" s="6" t="inlineStr">
        <is>
          <t>Optimistic</t>
        </is>
      </c>
    </row>
    <row r="11" ht="18" customHeight="1">
      <c r="A11" s="6" t="inlineStr">
        <is>
          <t>Month</t>
        </is>
      </c>
      <c r="B11" s="6" t="inlineStr">
        <is>
          <t>Transactions</t>
        </is>
      </c>
      <c r="C11" s="6" t="inlineStr">
        <is>
          <t>Net TPV</t>
        </is>
      </c>
      <c r="D11" s="6" t="inlineStr">
        <is>
          <t>Credit (if on)</t>
        </is>
      </c>
      <c r="E11" s="6" t="inlineStr">
        <is>
          <t>Yuno cost</t>
        </is>
      </c>
      <c r="F11" s="6" t="inlineStr">
        <is>
          <t>Gross contribution</t>
        </is>
      </c>
      <c r="G11" s="6" t="inlineStr">
        <is>
          <t>Net benefit</t>
        </is>
      </c>
      <c r="H11" s="6" t="inlineStr">
        <is>
          <t>Cumulative net</t>
        </is>
      </c>
      <c r="I11" s="6" t="inlineStr">
        <is>
          <t>Cum &gt;= 0</t>
        </is>
      </c>
      <c r="J11" s="6" t="inlineStr">
        <is>
          <t>Yuno cost</t>
        </is>
      </c>
      <c r="K11" s="6" t="inlineStr">
        <is>
          <t>Gross contribution</t>
        </is>
      </c>
      <c r="L11" s="6" t="inlineStr">
        <is>
          <t>Net benefit</t>
        </is>
      </c>
      <c r="M11" s="6" t="inlineStr">
        <is>
          <t>Cumulative net</t>
        </is>
      </c>
      <c r="N11" s="6" t="inlineStr">
        <is>
          <t>Cum &gt;= 0</t>
        </is>
      </c>
      <c r="O11" s="6" t="inlineStr">
        <is>
          <t>Yuno cost</t>
        </is>
      </c>
      <c r="P11" s="6" t="inlineStr">
        <is>
          <t>Gross contribution</t>
        </is>
      </c>
      <c r="Q11" s="6" t="inlineStr">
        <is>
          <t>Net benefit</t>
        </is>
      </c>
      <c r="R11" s="6" t="inlineStr">
        <is>
          <t>Cumulative net</t>
        </is>
      </c>
      <c r="S11" s="6" t="inlineStr">
        <is>
          <t>Cum &gt;= 0</t>
        </is>
      </c>
    </row>
    <row r="12">
      <c r="A12" s="10" t="inlineStr">
        <is>
          <t>Dec 2026</t>
        </is>
      </c>
      <c r="B12" s="60">
        <f>Inputs!$E$8+(Inputs!$E$11-Inputs!$E$8)*0/(Inputs!$E$45-1)</f>
        <v/>
      </c>
      <c r="C12" s="56">
        <f>B12*Inputs!$E$6</f>
        <v/>
      </c>
      <c r="D12" s="56">
        <f>IF(AND(Inputs!$E$47=1,1&lt;=Inputs!$E$49),Inputs!$E$48,0)</f>
        <v/>
      </c>
      <c r="E12" s="56">
        <f>Inputs!$E$33+MAX(0,MIN(C12,Inputs!$E$35)-MAX(0,(MIN(C12,Inputs!$E$34))))*Inputs!$E$36+MAX(0,MIN(C12,Inputs!$E$37)-MAX(Inputs!$E$35,(MIN(C12,Inputs!$E$34))))*Inputs!$E$38+MAX(0,MIN(C12,Inputs!$E$39)-MAX(Inputs!$E$37,(MIN(C12,Inputs!$E$34))))*Inputs!$E$40+MAX(0,C12-MAX(Inputs!$E$39,(MIN(C12,Inputs!$E$34))))*Inputs!$E$41-D12</f>
        <v/>
      </c>
      <c r="F12" s="56">
        <f>C12*Inputs!$D$20/10000+(C12/Inputs!$D$22*Inputs!$D$23+C12*Inputs!$D$25)*(Inputs!$D$13-Inputs!$D$14*((C12*(Inputs!$D$16-Inputs!$D$20/10000)+E12)/C12))+Inputs!$D$27*Inputs!$D$28*Inputs!$D$29*(1+Inputs!$D$30*Inputs!$D$31/12)/Inputs!$D$31</f>
        <v/>
      </c>
      <c r="G12" s="58">
        <f>F12-E12</f>
        <v/>
      </c>
      <c r="H12" s="58">
        <f>G12</f>
        <v/>
      </c>
      <c r="I12" s="59">
        <f>IF(H12&gt;=0,1,0)</f>
        <v/>
      </c>
      <c r="J12" s="56">
        <f>Inputs!$E$33+MAX(0,MIN(C12,Inputs!$E$35)-MAX(0,(MIN(C12,Inputs!$E$34))))*Inputs!$E$36+MAX(0,MIN(C12,Inputs!$E$37)-MAX(Inputs!$E$35,(MIN(C12,Inputs!$E$34))))*Inputs!$E$38+MAX(0,MIN(C12,Inputs!$E$39)-MAX(Inputs!$E$37,(MIN(C12,Inputs!$E$34))))*Inputs!$E$40+MAX(0,C12-MAX(Inputs!$E$39,(MIN(C12,Inputs!$E$34))))*Inputs!$E$41-D12</f>
        <v/>
      </c>
      <c r="K12" s="56">
        <f>C12*Inputs!$E$20/10000+(C12/Inputs!$E$22*Inputs!$E$23+C12*Inputs!$E$25)*(Inputs!$E$13-Inputs!$E$14*((C12*(Inputs!$E$16-Inputs!$E$20/10000)+J12)/C12))+Inputs!$E$27*Inputs!$E$28*Inputs!$E$29*(1+Inputs!$E$30*Inputs!$E$31/12)/Inputs!$E$31</f>
        <v/>
      </c>
      <c r="L12" s="58">
        <f>K12-J12</f>
        <v/>
      </c>
      <c r="M12" s="58">
        <f>L12</f>
        <v/>
      </c>
      <c r="N12" s="59">
        <f>IF(M12&gt;=0,1,0)</f>
        <v/>
      </c>
      <c r="O12" s="56">
        <f>Inputs!$E$33+MAX(0,MIN(C12,Inputs!$E$35)-MAX(0,(MIN(C12,Inputs!$E$34))))*Inputs!$E$36+MAX(0,MIN(C12,Inputs!$E$37)-MAX(Inputs!$E$35,(MIN(C12,Inputs!$E$34))))*Inputs!$E$38+MAX(0,MIN(C12,Inputs!$E$39)-MAX(Inputs!$E$37,(MIN(C12,Inputs!$E$34))))*Inputs!$E$40+MAX(0,C12-MAX(Inputs!$E$39,(MIN(C12,Inputs!$E$34))))*Inputs!$E$41-D12</f>
        <v/>
      </c>
      <c r="P12" s="56">
        <f>C12*Inputs!$F$20/10000+(C12/Inputs!$F$22*Inputs!$F$23+C12*Inputs!$F$25)*(Inputs!$F$13-Inputs!$F$14*((C12*(Inputs!$F$16-Inputs!$F$20/10000)+O12)/C12))+Inputs!$F$27*Inputs!$F$28*Inputs!$F$29*(1+Inputs!$F$30*Inputs!$F$31/12)/Inputs!$F$31</f>
        <v/>
      </c>
      <c r="Q12" s="58">
        <f>P12-O12</f>
        <v/>
      </c>
      <c r="R12" s="58">
        <f>Q12</f>
        <v/>
      </c>
      <c r="S12" s="59">
        <f>IF(R12&gt;=0,1,0)</f>
        <v/>
      </c>
    </row>
    <row r="13">
      <c r="A13" s="10" t="inlineStr">
        <is>
          <t>Jan 2027</t>
        </is>
      </c>
      <c r="B13" s="60">
        <f>Inputs!$E$8+(Inputs!$E$11-Inputs!$E$8)*1/(Inputs!$E$45-1)</f>
        <v/>
      </c>
      <c r="C13" s="56">
        <f>B13*Inputs!$E$6</f>
        <v/>
      </c>
      <c r="D13" s="56">
        <f>IF(AND(Inputs!$E$47=1,2&lt;=Inputs!$E$49),Inputs!$E$48,0)</f>
        <v/>
      </c>
      <c r="E13" s="56">
        <f>Inputs!$E$33+MAX(0,MIN(C13,Inputs!$E$35)-MAX(0,(MIN(C13,Inputs!$E$34))))*Inputs!$E$36+MAX(0,MIN(C13,Inputs!$E$37)-MAX(Inputs!$E$35,(MIN(C13,Inputs!$E$34))))*Inputs!$E$38+MAX(0,MIN(C13,Inputs!$E$39)-MAX(Inputs!$E$37,(MIN(C13,Inputs!$E$34))))*Inputs!$E$40+MAX(0,C13-MAX(Inputs!$E$39,(MIN(C13,Inputs!$E$34))))*Inputs!$E$41-D13</f>
        <v/>
      </c>
      <c r="F13" s="56">
        <f>C13*Inputs!$D$20/10000+(C13/Inputs!$D$22*Inputs!$D$23+C13*Inputs!$D$25)*(Inputs!$D$13-Inputs!$D$14*((C13*(Inputs!$D$16-Inputs!$D$20/10000)+E13)/C13))+Inputs!$D$27*Inputs!$D$28*Inputs!$D$29*(1+Inputs!$D$30*Inputs!$D$31/12)/Inputs!$D$31</f>
        <v/>
      </c>
      <c r="G13" s="58">
        <f>F13-E13</f>
        <v/>
      </c>
      <c r="H13" s="58">
        <f>H12+G13</f>
        <v/>
      </c>
      <c r="I13" s="59">
        <f>IF(H13&gt;=0,1,0)</f>
        <v/>
      </c>
      <c r="J13" s="56">
        <f>Inputs!$E$33+MAX(0,MIN(C13,Inputs!$E$35)-MAX(0,(MIN(C13,Inputs!$E$34))))*Inputs!$E$36+MAX(0,MIN(C13,Inputs!$E$37)-MAX(Inputs!$E$35,(MIN(C13,Inputs!$E$34))))*Inputs!$E$38+MAX(0,MIN(C13,Inputs!$E$39)-MAX(Inputs!$E$37,(MIN(C13,Inputs!$E$34))))*Inputs!$E$40+MAX(0,C13-MAX(Inputs!$E$39,(MIN(C13,Inputs!$E$34))))*Inputs!$E$41-D13</f>
        <v/>
      </c>
      <c r="K13" s="56">
        <f>C13*Inputs!$E$20/10000+(C13/Inputs!$E$22*Inputs!$E$23+C13*Inputs!$E$25)*(Inputs!$E$13-Inputs!$E$14*((C13*(Inputs!$E$16-Inputs!$E$20/10000)+J13)/C13))+Inputs!$E$27*Inputs!$E$28*Inputs!$E$29*(1+Inputs!$E$30*Inputs!$E$31/12)/Inputs!$E$31</f>
        <v/>
      </c>
      <c r="L13" s="58">
        <f>K13-J13</f>
        <v/>
      </c>
      <c r="M13" s="58">
        <f>M12+L13</f>
        <v/>
      </c>
      <c r="N13" s="59">
        <f>IF(M13&gt;=0,1,0)</f>
        <v/>
      </c>
      <c r="O13" s="56">
        <f>Inputs!$E$33+MAX(0,MIN(C13,Inputs!$E$35)-MAX(0,(MIN(C13,Inputs!$E$34))))*Inputs!$E$36+MAX(0,MIN(C13,Inputs!$E$37)-MAX(Inputs!$E$35,(MIN(C13,Inputs!$E$34))))*Inputs!$E$38+MAX(0,MIN(C13,Inputs!$E$39)-MAX(Inputs!$E$37,(MIN(C13,Inputs!$E$34))))*Inputs!$E$40+MAX(0,C13-MAX(Inputs!$E$39,(MIN(C13,Inputs!$E$34))))*Inputs!$E$41-D13</f>
        <v/>
      </c>
      <c r="P13" s="56">
        <f>C13*Inputs!$F$20/10000+(C13/Inputs!$F$22*Inputs!$F$23+C13*Inputs!$F$25)*(Inputs!$F$13-Inputs!$F$14*((C13*(Inputs!$F$16-Inputs!$F$20/10000)+O13)/C13))+Inputs!$F$27*Inputs!$F$28*Inputs!$F$29*(1+Inputs!$F$30*Inputs!$F$31/12)/Inputs!$F$31</f>
        <v/>
      </c>
      <c r="Q13" s="58">
        <f>P13-O13</f>
        <v/>
      </c>
      <c r="R13" s="58">
        <f>R12+Q13</f>
        <v/>
      </c>
      <c r="S13" s="59">
        <f>IF(R13&gt;=0,1,0)</f>
        <v/>
      </c>
    </row>
    <row r="14">
      <c r="A14" s="10" t="inlineStr">
        <is>
          <t>Feb 2027</t>
        </is>
      </c>
      <c r="B14" s="60">
        <f>Inputs!$E$8+(Inputs!$E$11-Inputs!$E$8)*2/(Inputs!$E$45-1)</f>
        <v/>
      </c>
      <c r="C14" s="56">
        <f>B14*Inputs!$E$6</f>
        <v/>
      </c>
      <c r="D14" s="56">
        <f>IF(AND(Inputs!$E$47=1,3&lt;=Inputs!$E$49),Inputs!$E$48,0)</f>
        <v/>
      </c>
      <c r="E14" s="56">
        <f>Inputs!$E$33+MAX(0,MIN(C14,Inputs!$E$35)-MAX(0,(MIN(C14,Inputs!$E$34))))*Inputs!$E$36+MAX(0,MIN(C14,Inputs!$E$37)-MAX(Inputs!$E$35,(MIN(C14,Inputs!$E$34))))*Inputs!$E$38+MAX(0,MIN(C14,Inputs!$E$39)-MAX(Inputs!$E$37,(MIN(C14,Inputs!$E$34))))*Inputs!$E$40+MAX(0,C14-MAX(Inputs!$E$39,(MIN(C14,Inputs!$E$34))))*Inputs!$E$41-D14</f>
        <v/>
      </c>
      <c r="F14" s="56">
        <f>C14*Inputs!$D$20/10000+(C14/Inputs!$D$22*Inputs!$D$23+C14*Inputs!$D$25)*(Inputs!$D$13-Inputs!$D$14*((C14*(Inputs!$D$16-Inputs!$D$20/10000)+E14)/C14))+Inputs!$D$27*Inputs!$D$28*Inputs!$D$29*(1+Inputs!$D$30*Inputs!$D$31/12)/Inputs!$D$31</f>
        <v/>
      </c>
      <c r="G14" s="58">
        <f>F14-E14</f>
        <v/>
      </c>
      <c r="H14" s="58">
        <f>H13+G14</f>
        <v/>
      </c>
      <c r="I14" s="59">
        <f>IF(H14&gt;=0,1,0)</f>
        <v/>
      </c>
      <c r="J14" s="56">
        <f>Inputs!$E$33+MAX(0,MIN(C14,Inputs!$E$35)-MAX(0,(MIN(C14,Inputs!$E$34))))*Inputs!$E$36+MAX(0,MIN(C14,Inputs!$E$37)-MAX(Inputs!$E$35,(MIN(C14,Inputs!$E$34))))*Inputs!$E$38+MAX(0,MIN(C14,Inputs!$E$39)-MAX(Inputs!$E$37,(MIN(C14,Inputs!$E$34))))*Inputs!$E$40+MAX(0,C14-MAX(Inputs!$E$39,(MIN(C14,Inputs!$E$34))))*Inputs!$E$41-D14</f>
        <v/>
      </c>
      <c r="K14" s="56">
        <f>C14*Inputs!$E$20/10000+(C14/Inputs!$E$22*Inputs!$E$23+C14*Inputs!$E$25)*(Inputs!$E$13-Inputs!$E$14*((C14*(Inputs!$E$16-Inputs!$E$20/10000)+J14)/C14))+Inputs!$E$27*Inputs!$E$28*Inputs!$E$29*(1+Inputs!$E$30*Inputs!$E$31/12)/Inputs!$E$31</f>
        <v/>
      </c>
      <c r="L14" s="58">
        <f>K14-J14</f>
        <v/>
      </c>
      <c r="M14" s="58">
        <f>M13+L14</f>
        <v/>
      </c>
      <c r="N14" s="59">
        <f>IF(M14&gt;=0,1,0)</f>
        <v/>
      </c>
      <c r="O14" s="56">
        <f>Inputs!$E$33+MAX(0,MIN(C14,Inputs!$E$35)-MAX(0,(MIN(C14,Inputs!$E$34))))*Inputs!$E$36+MAX(0,MIN(C14,Inputs!$E$37)-MAX(Inputs!$E$35,(MIN(C14,Inputs!$E$34))))*Inputs!$E$38+MAX(0,MIN(C14,Inputs!$E$39)-MAX(Inputs!$E$37,(MIN(C14,Inputs!$E$34))))*Inputs!$E$40+MAX(0,C14-MAX(Inputs!$E$39,(MIN(C14,Inputs!$E$34))))*Inputs!$E$41-D14</f>
        <v/>
      </c>
      <c r="P14" s="56">
        <f>C14*Inputs!$F$20/10000+(C14/Inputs!$F$22*Inputs!$F$23+C14*Inputs!$F$25)*(Inputs!$F$13-Inputs!$F$14*((C14*(Inputs!$F$16-Inputs!$F$20/10000)+O14)/C14))+Inputs!$F$27*Inputs!$F$28*Inputs!$F$29*(1+Inputs!$F$30*Inputs!$F$31/12)/Inputs!$F$31</f>
        <v/>
      </c>
      <c r="Q14" s="58">
        <f>P14-O14</f>
        <v/>
      </c>
      <c r="R14" s="58">
        <f>R13+Q14</f>
        <v/>
      </c>
      <c r="S14" s="59">
        <f>IF(R14&gt;=0,1,0)</f>
        <v/>
      </c>
    </row>
    <row r="15">
      <c r="A15" s="10" t="inlineStr">
        <is>
          <t>Mar 2027</t>
        </is>
      </c>
      <c r="B15" s="60">
        <f>Inputs!$E$8+(Inputs!$E$11-Inputs!$E$8)*3/(Inputs!$E$45-1)</f>
        <v/>
      </c>
      <c r="C15" s="56">
        <f>B15*Inputs!$E$6</f>
        <v/>
      </c>
      <c r="D15" s="56">
        <f>IF(AND(Inputs!$E$47=1,4&lt;=Inputs!$E$49),Inputs!$E$48,0)</f>
        <v/>
      </c>
      <c r="E15" s="56">
        <f>Inputs!$E$33+MAX(0,MIN(C15,Inputs!$E$35)-MAX(0,(MIN(C15,Inputs!$E$34))))*Inputs!$E$36+MAX(0,MIN(C15,Inputs!$E$37)-MAX(Inputs!$E$35,(MIN(C15,Inputs!$E$34))))*Inputs!$E$38+MAX(0,MIN(C15,Inputs!$E$39)-MAX(Inputs!$E$37,(MIN(C15,Inputs!$E$34))))*Inputs!$E$40+MAX(0,C15-MAX(Inputs!$E$39,(MIN(C15,Inputs!$E$34))))*Inputs!$E$41-D15</f>
        <v/>
      </c>
      <c r="F15" s="56">
        <f>C15*Inputs!$D$20/10000+(C15/Inputs!$D$22*Inputs!$D$23+C15*Inputs!$D$25)*(Inputs!$D$13-Inputs!$D$14*((C15*(Inputs!$D$16-Inputs!$D$20/10000)+E15)/C15))+Inputs!$D$27*Inputs!$D$28*Inputs!$D$29*(1+Inputs!$D$30*Inputs!$D$31/12)/Inputs!$D$31</f>
        <v/>
      </c>
      <c r="G15" s="58">
        <f>F15-E15</f>
        <v/>
      </c>
      <c r="H15" s="58">
        <f>H14+G15</f>
        <v/>
      </c>
      <c r="I15" s="59">
        <f>IF(H15&gt;=0,1,0)</f>
        <v/>
      </c>
      <c r="J15" s="56">
        <f>Inputs!$E$33+MAX(0,MIN(C15,Inputs!$E$35)-MAX(0,(MIN(C15,Inputs!$E$34))))*Inputs!$E$36+MAX(0,MIN(C15,Inputs!$E$37)-MAX(Inputs!$E$35,(MIN(C15,Inputs!$E$34))))*Inputs!$E$38+MAX(0,MIN(C15,Inputs!$E$39)-MAX(Inputs!$E$37,(MIN(C15,Inputs!$E$34))))*Inputs!$E$40+MAX(0,C15-MAX(Inputs!$E$39,(MIN(C15,Inputs!$E$34))))*Inputs!$E$41-D15</f>
        <v/>
      </c>
      <c r="K15" s="56">
        <f>C15*Inputs!$E$20/10000+(C15/Inputs!$E$22*Inputs!$E$23+C15*Inputs!$E$25)*(Inputs!$E$13-Inputs!$E$14*((C15*(Inputs!$E$16-Inputs!$E$20/10000)+J15)/C15))+Inputs!$E$27*Inputs!$E$28*Inputs!$E$29*(1+Inputs!$E$30*Inputs!$E$31/12)/Inputs!$E$31</f>
        <v/>
      </c>
      <c r="L15" s="58">
        <f>K15-J15</f>
        <v/>
      </c>
      <c r="M15" s="58">
        <f>M14+L15</f>
        <v/>
      </c>
      <c r="N15" s="59">
        <f>IF(M15&gt;=0,1,0)</f>
        <v/>
      </c>
      <c r="O15" s="56">
        <f>Inputs!$E$33+MAX(0,MIN(C15,Inputs!$E$35)-MAX(0,(MIN(C15,Inputs!$E$34))))*Inputs!$E$36+MAX(0,MIN(C15,Inputs!$E$37)-MAX(Inputs!$E$35,(MIN(C15,Inputs!$E$34))))*Inputs!$E$38+MAX(0,MIN(C15,Inputs!$E$39)-MAX(Inputs!$E$37,(MIN(C15,Inputs!$E$34))))*Inputs!$E$40+MAX(0,C15-MAX(Inputs!$E$39,(MIN(C15,Inputs!$E$34))))*Inputs!$E$41-D15</f>
        <v/>
      </c>
      <c r="P15" s="56">
        <f>C15*Inputs!$F$20/10000+(C15/Inputs!$F$22*Inputs!$F$23+C15*Inputs!$F$25)*(Inputs!$F$13-Inputs!$F$14*((C15*(Inputs!$F$16-Inputs!$F$20/10000)+O15)/C15))+Inputs!$F$27*Inputs!$F$28*Inputs!$F$29*(1+Inputs!$F$30*Inputs!$F$31/12)/Inputs!$F$31</f>
        <v/>
      </c>
      <c r="Q15" s="58">
        <f>P15-O15</f>
        <v/>
      </c>
      <c r="R15" s="58">
        <f>R14+Q15</f>
        <v/>
      </c>
      <c r="S15" s="59">
        <f>IF(R15&gt;=0,1,0)</f>
        <v/>
      </c>
    </row>
    <row r="16">
      <c r="A16" s="10" t="inlineStr">
        <is>
          <t>Apr 2027</t>
        </is>
      </c>
      <c r="B16" s="60">
        <f>Inputs!$E$8+(Inputs!$E$11-Inputs!$E$8)*4/(Inputs!$E$45-1)</f>
        <v/>
      </c>
      <c r="C16" s="56">
        <f>B16*Inputs!$E$6</f>
        <v/>
      </c>
      <c r="D16" s="56">
        <f>IF(AND(Inputs!$E$47=1,5&lt;=Inputs!$E$49),Inputs!$E$48,0)</f>
        <v/>
      </c>
      <c r="E16" s="56">
        <f>Inputs!$E$33+MAX(0,MIN(C16,Inputs!$E$35)-MAX(0,(MIN(C16,Inputs!$E$34))))*Inputs!$E$36+MAX(0,MIN(C16,Inputs!$E$37)-MAX(Inputs!$E$35,(MIN(C16,Inputs!$E$34))))*Inputs!$E$38+MAX(0,MIN(C16,Inputs!$E$39)-MAX(Inputs!$E$37,(MIN(C16,Inputs!$E$34))))*Inputs!$E$40+MAX(0,C16-MAX(Inputs!$E$39,(MIN(C16,Inputs!$E$34))))*Inputs!$E$41-D16</f>
        <v/>
      </c>
      <c r="F16" s="56">
        <f>C16*Inputs!$D$20/10000+(C16/Inputs!$D$22*Inputs!$D$23+C16*Inputs!$D$25)*(Inputs!$D$13-Inputs!$D$14*((C16*(Inputs!$D$16-Inputs!$D$20/10000)+E16)/C16))+Inputs!$D$27*Inputs!$D$28*Inputs!$D$29*(1+Inputs!$D$30*Inputs!$D$31/12)/Inputs!$D$31</f>
        <v/>
      </c>
      <c r="G16" s="58">
        <f>F16-E16</f>
        <v/>
      </c>
      <c r="H16" s="58">
        <f>H15+G16</f>
        <v/>
      </c>
      <c r="I16" s="59">
        <f>IF(H16&gt;=0,1,0)</f>
        <v/>
      </c>
      <c r="J16" s="56">
        <f>Inputs!$E$33+MAX(0,MIN(C16,Inputs!$E$35)-MAX(0,(MIN(C16,Inputs!$E$34))))*Inputs!$E$36+MAX(0,MIN(C16,Inputs!$E$37)-MAX(Inputs!$E$35,(MIN(C16,Inputs!$E$34))))*Inputs!$E$38+MAX(0,MIN(C16,Inputs!$E$39)-MAX(Inputs!$E$37,(MIN(C16,Inputs!$E$34))))*Inputs!$E$40+MAX(0,C16-MAX(Inputs!$E$39,(MIN(C16,Inputs!$E$34))))*Inputs!$E$41-D16</f>
        <v/>
      </c>
      <c r="K16" s="56">
        <f>C16*Inputs!$E$20/10000+(C16/Inputs!$E$22*Inputs!$E$23+C16*Inputs!$E$25)*(Inputs!$E$13-Inputs!$E$14*((C16*(Inputs!$E$16-Inputs!$E$20/10000)+J16)/C16))+Inputs!$E$27*Inputs!$E$28*Inputs!$E$29*(1+Inputs!$E$30*Inputs!$E$31/12)/Inputs!$E$31</f>
        <v/>
      </c>
      <c r="L16" s="58">
        <f>K16-J16</f>
        <v/>
      </c>
      <c r="M16" s="58">
        <f>M15+L16</f>
        <v/>
      </c>
      <c r="N16" s="59">
        <f>IF(M16&gt;=0,1,0)</f>
        <v/>
      </c>
      <c r="O16" s="56">
        <f>Inputs!$E$33+MAX(0,MIN(C16,Inputs!$E$35)-MAX(0,(MIN(C16,Inputs!$E$34))))*Inputs!$E$36+MAX(0,MIN(C16,Inputs!$E$37)-MAX(Inputs!$E$35,(MIN(C16,Inputs!$E$34))))*Inputs!$E$38+MAX(0,MIN(C16,Inputs!$E$39)-MAX(Inputs!$E$37,(MIN(C16,Inputs!$E$34))))*Inputs!$E$40+MAX(0,C16-MAX(Inputs!$E$39,(MIN(C16,Inputs!$E$34))))*Inputs!$E$41-D16</f>
        <v/>
      </c>
      <c r="P16" s="56">
        <f>C16*Inputs!$F$20/10000+(C16/Inputs!$F$22*Inputs!$F$23+C16*Inputs!$F$25)*(Inputs!$F$13-Inputs!$F$14*((C16*(Inputs!$F$16-Inputs!$F$20/10000)+O16)/C16))+Inputs!$F$27*Inputs!$F$28*Inputs!$F$29*(1+Inputs!$F$30*Inputs!$F$31/12)/Inputs!$F$31</f>
        <v/>
      </c>
      <c r="Q16" s="58">
        <f>P16-O16</f>
        <v/>
      </c>
      <c r="R16" s="58">
        <f>R15+Q16</f>
        <v/>
      </c>
      <c r="S16" s="59">
        <f>IF(R16&gt;=0,1,0)</f>
        <v/>
      </c>
    </row>
    <row r="17">
      <c r="A17" s="10" t="inlineStr">
        <is>
          <t>May 2027</t>
        </is>
      </c>
      <c r="B17" s="60">
        <f>Inputs!$E$8+(Inputs!$E$11-Inputs!$E$8)*5/(Inputs!$E$45-1)</f>
        <v/>
      </c>
      <c r="C17" s="56">
        <f>B17*Inputs!$E$6</f>
        <v/>
      </c>
      <c r="D17" s="56">
        <f>IF(AND(Inputs!$E$47=1,6&lt;=Inputs!$E$49),Inputs!$E$48,0)</f>
        <v/>
      </c>
      <c r="E17" s="56">
        <f>Inputs!$E$33+MAX(0,MIN(C17,Inputs!$E$35)-MAX(0,(MIN(C17,Inputs!$E$34))))*Inputs!$E$36+MAX(0,MIN(C17,Inputs!$E$37)-MAX(Inputs!$E$35,(MIN(C17,Inputs!$E$34))))*Inputs!$E$38+MAX(0,MIN(C17,Inputs!$E$39)-MAX(Inputs!$E$37,(MIN(C17,Inputs!$E$34))))*Inputs!$E$40+MAX(0,C17-MAX(Inputs!$E$39,(MIN(C17,Inputs!$E$34))))*Inputs!$E$41-D17</f>
        <v/>
      </c>
      <c r="F17" s="56">
        <f>C17*Inputs!$D$20/10000+(C17/Inputs!$D$22*Inputs!$D$23+C17*Inputs!$D$25)*(Inputs!$D$13-Inputs!$D$14*((C17*(Inputs!$D$16-Inputs!$D$20/10000)+E17)/C17))+Inputs!$D$27*Inputs!$D$28*Inputs!$D$29*(1+Inputs!$D$30*Inputs!$D$31/12)/Inputs!$D$31</f>
        <v/>
      </c>
      <c r="G17" s="58">
        <f>F17-E17</f>
        <v/>
      </c>
      <c r="H17" s="58">
        <f>H16+G17</f>
        <v/>
      </c>
      <c r="I17" s="59">
        <f>IF(H17&gt;=0,1,0)</f>
        <v/>
      </c>
      <c r="J17" s="56">
        <f>Inputs!$E$33+MAX(0,MIN(C17,Inputs!$E$35)-MAX(0,(MIN(C17,Inputs!$E$34))))*Inputs!$E$36+MAX(0,MIN(C17,Inputs!$E$37)-MAX(Inputs!$E$35,(MIN(C17,Inputs!$E$34))))*Inputs!$E$38+MAX(0,MIN(C17,Inputs!$E$39)-MAX(Inputs!$E$37,(MIN(C17,Inputs!$E$34))))*Inputs!$E$40+MAX(0,C17-MAX(Inputs!$E$39,(MIN(C17,Inputs!$E$34))))*Inputs!$E$41-D17</f>
        <v/>
      </c>
      <c r="K17" s="56">
        <f>C17*Inputs!$E$20/10000+(C17/Inputs!$E$22*Inputs!$E$23+C17*Inputs!$E$25)*(Inputs!$E$13-Inputs!$E$14*((C17*(Inputs!$E$16-Inputs!$E$20/10000)+J17)/C17))+Inputs!$E$27*Inputs!$E$28*Inputs!$E$29*(1+Inputs!$E$30*Inputs!$E$31/12)/Inputs!$E$31</f>
        <v/>
      </c>
      <c r="L17" s="58">
        <f>K17-J17</f>
        <v/>
      </c>
      <c r="M17" s="58">
        <f>M16+L17</f>
        <v/>
      </c>
      <c r="N17" s="59">
        <f>IF(M17&gt;=0,1,0)</f>
        <v/>
      </c>
      <c r="O17" s="56">
        <f>Inputs!$E$33+MAX(0,MIN(C17,Inputs!$E$35)-MAX(0,(MIN(C17,Inputs!$E$34))))*Inputs!$E$36+MAX(0,MIN(C17,Inputs!$E$37)-MAX(Inputs!$E$35,(MIN(C17,Inputs!$E$34))))*Inputs!$E$38+MAX(0,MIN(C17,Inputs!$E$39)-MAX(Inputs!$E$37,(MIN(C17,Inputs!$E$34))))*Inputs!$E$40+MAX(0,C17-MAX(Inputs!$E$39,(MIN(C17,Inputs!$E$34))))*Inputs!$E$41-D17</f>
        <v/>
      </c>
      <c r="P17" s="56">
        <f>C17*Inputs!$F$20/10000+(C17/Inputs!$F$22*Inputs!$F$23+C17*Inputs!$F$25)*(Inputs!$F$13-Inputs!$F$14*((C17*(Inputs!$F$16-Inputs!$F$20/10000)+O17)/C17))+Inputs!$F$27*Inputs!$F$28*Inputs!$F$29*(1+Inputs!$F$30*Inputs!$F$31/12)/Inputs!$F$31</f>
        <v/>
      </c>
      <c r="Q17" s="58">
        <f>P17-O17</f>
        <v/>
      </c>
      <c r="R17" s="58">
        <f>R16+Q17</f>
        <v/>
      </c>
      <c r="S17" s="59">
        <f>IF(R17&gt;=0,1,0)</f>
        <v/>
      </c>
    </row>
    <row r="18">
      <c r="A18" s="10" t="inlineStr">
        <is>
          <t>Jun 2027</t>
        </is>
      </c>
      <c r="B18" s="60">
        <f>Inputs!$E$8+(Inputs!$E$11-Inputs!$E$8)*6/(Inputs!$E$45-1)</f>
        <v/>
      </c>
      <c r="C18" s="56">
        <f>B18*Inputs!$E$6</f>
        <v/>
      </c>
      <c r="D18" s="56">
        <f>IF(AND(Inputs!$E$47=1,7&lt;=Inputs!$E$49),Inputs!$E$48,0)</f>
        <v/>
      </c>
      <c r="E18" s="56">
        <f>Inputs!$E$33+MAX(0,MIN(C18,Inputs!$E$35)-MAX(0,(MIN(C18,Inputs!$E$34))))*Inputs!$E$36+MAX(0,MIN(C18,Inputs!$E$37)-MAX(Inputs!$E$35,(MIN(C18,Inputs!$E$34))))*Inputs!$E$38+MAX(0,MIN(C18,Inputs!$E$39)-MAX(Inputs!$E$37,(MIN(C18,Inputs!$E$34))))*Inputs!$E$40+MAX(0,C18-MAX(Inputs!$E$39,(MIN(C18,Inputs!$E$34))))*Inputs!$E$41-D18</f>
        <v/>
      </c>
      <c r="F18" s="56">
        <f>C18*Inputs!$D$20/10000+(C18/Inputs!$D$22*Inputs!$D$23+C18*Inputs!$D$25)*(Inputs!$D$13-Inputs!$D$14*((C18*(Inputs!$D$16-Inputs!$D$20/10000)+E18)/C18))+Inputs!$D$27*Inputs!$D$28*Inputs!$D$29*(1+Inputs!$D$30*Inputs!$D$31/12)/Inputs!$D$31</f>
        <v/>
      </c>
      <c r="G18" s="58">
        <f>F18-E18</f>
        <v/>
      </c>
      <c r="H18" s="58">
        <f>H17+G18</f>
        <v/>
      </c>
      <c r="I18" s="59">
        <f>IF(H18&gt;=0,1,0)</f>
        <v/>
      </c>
      <c r="J18" s="56">
        <f>Inputs!$E$33+MAX(0,MIN(C18,Inputs!$E$35)-MAX(0,(MIN(C18,Inputs!$E$34))))*Inputs!$E$36+MAX(0,MIN(C18,Inputs!$E$37)-MAX(Inputs!$E$35,(MIN(C18,Inputs!$E$34))))*Inputs!$E$38+MAX(0,MIN(C18,Inputs!$E$39)-MAX(Inputs!$E$37,(MIN(C18,Inputs!$E$34))))*Inputs!$E$40+MAX(0,C18-MAX(Inputs!$E$39,(MIN(C18,Inputs!$E$34))))*Inputs!$E$41-D18</f>
        <v/>
      </c>
      <c r="K18" s="56">
        <f>C18*Inputs!$E$20/10000+(C18/Inputs!$E$22*Inputs!$E$23+C18*Inputs!$E$25)*(Inputs!$E$13-Inputs!$E$14*((C18*(Inputs!$E$16-Inputs!$E$20/10000)+J18)/C18))+Inputs!$E$27*Inputs!$E$28*Inputs!$E$29*(1+Inputs!$E$30*Inputs!$E$31/12)/Inputs!$E$31</f>
        <v/>
      </c>
      <c r="L18" s="58">
        <f>K18-J18</f>
        <v/>
      </c>
      <c r="M18" s="58">
        <f>M17+L18</f>
        <v/>
      </c>
      <c r="N18" s="59">
        <f>IF(M18&gt;=0,1,0)</f>
        <v/>
      </c>
      <c r="O18" s="56">
        <f>Inputs!$E$33+MAX(0,MIN(C18,Inputs!$E$35)-MAX(0,(MIN(C18,Inputs!$E$34))))*Inputs!$E$36+MAX(0,MIN(C18,Inputs!$E$37)-MAX(Inputs!$E$35,(MIN(C18,Inputs!$E$34))))*Inputs!$E$38+MAX(0,MIN(C18,Inputs!$E$39)-MAX(Inputs!$E$37,(MIN(C18,Inputs!$E$34))))*Inputs!$E$40+MAX(0,C18-MAX(Inputs!$E$39,(MIN(C18,Inputs!$E$34))))*Inputs!$E$41-D18</f>
        <v/>
      </c>
      <c r="P18" s="56">
        <f>C18*Inputs!$F$20/10000+(C18/Inputs!$F$22*Inputs!$F$23+C18*Inputs!$F$25)*(Inputs!$F$13-Inputs!$F$14*((C18*(Inputs!$F$16-Inputs!$F$20/10000)+O18)/C18))+Inputs!$F$27*Inputs!$F$28*Inputs!$F$29*(1+Inputs!$F$30*Inputs!$F$31/12)/Inputs!$F$31</f>
        <v/>
      </c>
      <c r="Q18" s="58">
        <f>P18-O18</f>
        <v/>
      </c>
      <c r="R18" s="58">
        <f>R17+Q18</f>
        <v/>
      </c>
      <c r="S18" s="59">
        <f>IF(R18&gt;=0,1,0)</f>
        <v/>
      </c>
    </row>
    <row r="19">
      <c r="A19" s="10" t="inlineStr">
        <is>
          <t>Jul 2027</t>
        </is>
      </c>
      <c r="B19" s="60">
        <f>Inputs!$E$8+(Inputs!$E$11-Inputs!$E$8)*7/(Inputs!$E$45-1)</f>
        <v/>
      </c>
      <c r="C19" s="56">
        <f>B19*Inputs!$E$6</f>
        <v/>
      </c>
      <c r="D19" s="56">
        <f>IF(AND(Inputs!$E$47=1,8&lt;=Inputs!$E$49),Inputs!$E$48,0)</f>
        <v/>
      </c>
      <c r="E19" s="56">
        <f>Inputs!$E$33+MAX(0,MIN(C19,Inputs!$E$35)-MAX(0,(MIN(C19,Inputs!$E$34))))*Inputs!$E$36+MAX(0,MIN(C19,Inputs!$E$37)-MAX(Inputs!$E$35,(MIN(C19,Inputs!$E$34))))*Inputs!$E$38+MAX(0,MIN(C19,Inputs!$E$39)-MAX(Inputs!$E$37,(MIN(C19,Inputs!$E$34))))*Inputs!$E$40+MAX(0,C19-MAX(Inputs!$E$39,(MIN(C19,Inputs!$E$34))))*Inputs!$E$41-D19</f>
        <v/>
      </c>
      <c r="F19" s="56">
        <f>C19*Inputs!$D$20/10000+(C19/Inputs!$D$22*Inputs!$D$23+C19*Inputs!$D$25)*(Inputs!$D$13-Inputs!$D$14*((C19*(Inputs!$D$16-Inputs!$D$20/10000)+E19)/C19))+Inputs!$D$27*Inputs!$D$28*Inputs!$D$29*(1+Inputs!$D$30*Inputs!$D$31/12)/Inputs!$D$31</f>
        <v/>
      </c>
      <c r="G19" s="58">
        <f>F19-E19</f>
        <v/>
      </c>
      <c r="H19" s="58">
        <f>H18+G19</f>
        <v/>
      </c>
      <c r="I19" s="59">
        <f>IF(H19&gt;=0,1,0)</f>
        <v/>
      </c>
      <c r="J19" s="56">
        <f>Inputs!$E$33+MAX(0,MIN(C19,Inputs!$E$35)-MAX(0,(MIN(C19,Inputs!$E$34))))*Inputs!$E$36+MAX(0,MIN(C19,Inputs!$E$37)-MAX(Inputs!$E$35,(MIN(C19,Inputs!$E$34))))*Inputs!$E$38+MAX(0,MIN(C19,Inputs!$E$39)-MAX(Inputs!$E$37,(MIN(C19,Inputs!$E$34))))*Inputs!$E$40+MAX(0,C19-MAX(Inputs!$E$39,(MIN(C19,Inputs!$E$34))))*Inputs!$E$41-D19</f>
        <v/>
      </c>
      <c r="K19" s="56">
        <f>C19*Inputs!$E$20/10000+(C19/Inputs!$E$22*Inputs!$E$23+C19*Inputs!$E$25)*(Inputs!$E$13-Inputs!$E$14*((C19*(Inputs!$E$16-Inputs!$E$20/10000)+J19)/C19))+Inputs!$E$27*Inputs!$E$28*Inputs!$E$29*(1+Inputs!$E$30*Inputs!$E$31/12)/Inputs!$E$31</f>
        <v/>
      </c>
      <c r="L19" s="58">
        <f>K19-J19</f>
        <v/>
      </c>
      <c r="M19" s="58">
        <f>M18+L19</f>
        <v/>
      </c>
      <c r="N19" s="59">
        <f>IF(M19&gt;=0,1,0)</f>
        <v/>
      </c>
      <c r="O19" s="56">
        <f>Inputs!$E$33+MAX(0,MIN(C19,Inputs!$E$35)-MAX(0,(MIN(C19,Inputs!$E$34))))*Inputs!$E$36+MAX(0,MIN(C19,Inputs!$E$37)-MAX(Inputs!$E$35,(MIN(C19,Inputs!$E$34))))*Inputs!$E$38+MAX(0,MIN(C19,Inputs!$E$39)-MAX(Inputs!$E$37,(MIN(C19,Inputs!$E$34))))*Inputs!$E$40+MAX(0,C19-MAX(Inputs!$E$39,(MIN(C19,Inputs!$E$34))))*Inputs!$E$41-D19</f>
        <v/>
      </c>
      <c r="P19" s="56">
        <f>C19*Inputs!$F$20/10000+(C19/Inputs!$F$22*Inputs!$F$23+C19*Inputs!$F$25)*(Inputs!$F$13-Inputs!$F$14*((C19*(Inputs!$F$16-Inputs!$F$20/10000)+O19)/C19))+Inputs!$F$27*Inputs!$F$28*Inputs!$F$29*(1+Inputs!$F$30*Inputs!$F$31/12)/Inputs!$F$31</f>
        <v/>
      </c>
      <c r="Q19" s="58">
        <f>P19-O19</f>
        <v/>
      </c>
      <c r="R19" s="58">
        <f>R18+Q19</f>
        <v/>
      </c>
      <c r="S19" s="59">
        <f>IF(R19&gt;=0,1,0)</f>
        <v/>
      </c>
    </row>
    <row r="20">
      <c r="A20" s="10" t="inlineStr">
        <is>
          <t>Aug 2027</t>
        </is>
      </c>
      <c r="B20" s="60">
        <f>Inputs!$E$8+(Inputs!$E$11-Inputs!$E$8)*8/(Inputs!$E$45-1)</f>
        <v/>
      </c>
      <c r="C20" s="56">
        <f>B20*Inputs!$E$6</f>
        <v/>
      </c>
      <c r="D20" s="56">
        <f>IF(AND(Inputs!$E$47=1,9&lt;=Inputs!$E$49),Inputs!$E$48,0)</f>
        <v/>
      </c>
      <c r="E20" s="56">
        <f>Inputs!$E$33+MAX(0,MIN(C20,Inputs!$E$35)-MAX(0,(MIN(C20,Inputs!$E$34))))*Inputs!$E$36+MAX(0,MIN(C20,Inputs!$E$37)-MAX(Inputs!$E$35,(MIN(C20,Inputs!$E$34))))*Inputs!$E$38+MAX(0,MIN(C20,Inputs!$E$39)-MAX(Inputs!$E$37,(MIN(C20,Inputs!$E$34))))*Inputs!$E$40+MAX(0,C20-MAX(Inputs!$E$39,(MIN(C20,Inputs!$E$34))))*Inputs!$E$41-D20</f>
        <v/>
      </c>
      <c r="F20" s="56">
        <f>C20*Inputs!$D$20/10000+(C20/Inputs!$D$22*Inputs!$D$23+C20*Inputs!$D$25)*(Inputs!$D$13-Inputs!$D$14*((C20*(Inputs!$D$16-Inputs!$D$20/10000)+E20)/C20))+Inputs!$D$27*Inputs!$D$28*Inputs!$D$29*(1+Inputs!$D$30*Inputs!$D$31/12)/Inputs!$D$31</f>
        <v/>
      </c>
      <c r="G20" s="58">
        <f>F20-E20</f>
        <v/>
      </c>
      <c r="H20" s="58">
        <f>H19+G20</f>
        <v/>
      </c>
      <c r="I20" s="59">
        <f>IF(H20&gt;=0,1,0)</f>
        <v/>
      </c>
      <c r="J20" s="56">
        <f>Inputs!$E$33+MAX(0,MIN(C20,Inputs!$E$35)-MAX(0,(MIN(C20,Inputs!$E$34))))*Inputs!$E$36+MAX(0,MIN(C20,Inputs!$E$37)-MAX(Inputs!$E$35,(MIN(C20,Inputs!$E$34))))*Inputs!$E$38+MAX(0,MIN(C20,Inputs!$E$39)-MAX(Inputs!$E$37,(MIN(C20,Inputs!$E$34))))*Inputs!$E$40+MAX(0,C20-MAX(Inputs!$E$39,(MIN(C20,Inputs!$E$34))))*Inputs!$E$41-D20</f>
        <v/>
      </c>
      <c r="K20" s="56">
        <f>C20*Inputs!$E$20/10000+(C20/Inputs!$E$22*Inputs!$E$23+C20*Inputs!$E$25)*(Inputs!$E$13-Inputs!$E$14*((C20*(Inputs!$E$16-Inputs!$E$20/10000)+J20)/C20))+Inputs!$E$27*Inputs!$E$28*Inputs!$E$29*(1+Inputs!$E$30*Inputs!$E$31/12)/Inputs!$E$31</f>
        <v/>
      </c>
      <c r="L20" s="58">
        <f>K20-J20</f>
        <v/>
      </c>
      <c r="M20" s="58">
        <f>M19+L20</f>
        <v/>
      </c>
      <c r="N20" s="59">
        <f>IF(M20&gt;=0,1,0)</f>
        <v/>
      </c>
      <c r="O20" s="56">
        <f>Inputs!$E$33+MAX(0,MIN(C20,Inputs!$E$35)-MAX(0,(MIN(C20,Inputs!$E$34))))*Inputs!$E$36+MAX(0,MIN(C20,Inputs!$E$37)-MAX(Inputs!$E$35,(MIN(C20,Inputs!$E$34))))*Inputs!$E$38+MAX(0,MIN(C20,Inputs!$E$39)-MAX(Inputs!$E$37,(MIN(C20,Inputs!$E$34))))*Inputs!$E$40+MAX(0,C20-MAX(Inputs!$E$39,(MIN(C20,Inputs!$E$34))))*Inputs!$E$41-D20</f>
        <v/>
      </c>
      <c r="P20" s="56">
        <f>C20*Inputs!$F$20/10000+(C20/Inputs!$F$22*Inputs!$F$23+C20*Inputs!$F$25)*(Inputs!$F$13-Inputs!$F$14*((C20*(Inputs!$F$16-Inputs!$F$20/10000)+O20)/C20))+Inputs!$F$27*Inputs!$F$28*Inputs!$F$29*(1+Inputs!$F$30*Inputs!$F$31/12)/Inputs!$F$31</f>
        <v/>
      </c>
      <c r="Q20" s="58">
        <f>P20-O20</f>
        <v/>
      </c>
      <c r="R20" s="58">
        <f>R19+Q20</f>
        <v/>
      </c>
      <c r="S20" s="59">
        <f>IF(R20&gt;=0,1,0)</f>
        <v/>
      </c>
    </row>
    <row r="21">
      <c r="A21" s="10" t="inlineStr">
        <is>
          <t>Sep 2027</t>
        </is>
      </c>
      <c r="B21" s="60">
        <f>Inputs!$E$8+(Inputs!$E$11-Inputs!$E$8)*9/(Inputs!$E$45-1)</f>
        <v/>
      </c>
      <c r="C21" s="56">
        <f>B21*Inputs!$E$6</f>
        <v/>
      </c>
      <c r="D21" s="56">
        <f>IF(AND(Inputs!$E$47=1,10&lt;=Inputs!$E$49),Inputs!$E$48,0)</f>
        <v/>
      </c>
      <c r="E21" s="56">
        <f>Inputs!$E$33+MAX(0,MIN(C21,Inputs!$E$35)-MAX(0,(MIN(C21,Inputs!$E$34))))*Inputs!$E$36+MAX(0,MIN(C21,Inputs!$E$37)-MAX(Inputs!$E$35,(MIN(C21,Inputs!$E$34))))*Inputs!$E$38+MAX(0,MIN(C21,Inputs!$E$39)-MAX(Inputs!$E$37,(MIN(C21,Inputs!$E$34))))*Inputs!$E$40+MAX(0,C21-MAX(Inputs!$E$39,(MIN(C21,Inputs!$E$34))))*Inputs!$E$41-D21</f>
        <v/>
      </c>
      <c r="F21" s="56">
        <f>C21*Inputs!$D$20/10000+(C21/Inputs!$D$22*Inputs!$D$23+C21*Inputs!$D$25)*(Inputs!$D$13-Inputs!$D$14*((C21*(Inputs!$D$16-Inputs!$D$20/10000)+E21)/C21))+Inputs!$D$27*Inputs!$D$28*Inputs!$D$29*(1+Inputs!$D$30*Inputs!$D$31/12)/Inputs!$D$31</f>
        <v/>
      </c>
      <c r="G21" s="58">
        <f>F21-E21</f>
        <v/>
      </c>
      <c r="H21" s="58">
        <f>H20+G21</f>
        <v/>
      </c>
      <c r="I21" s="59">
        <f>IF(H21&gt;=0,1,0)</f>
        <v/>
      </c>
      <c r="J21" s="56">
        <f>Inputs!$E$33+MAX(0,MIN(C21,Inputs!$E$35)-MAX(0,(MIN(C21,Inputs!$E$34))))*Inputs!$E$36+MAX(0,MIN(C21,Inputs!$E$37)-MAX(Inputs!$E$35,(MIN(C21,Inputs!$E$34))))*Inputs!$E$38+MAX(0,MIN(C21,Inputs!$E$39)-MAX(Inputs!$E$37,(MIN(C21,Inputs!$E$34))))*Inputs!$E$40+MAX(0,C21-MAX(Inputs!$E$39,(MIN(C21,Inputs!$E$34))))*Inputs!$E$41-D21</f>
        <v/>
      </c>
      <c r="K21" s="56">
        <f>C21*Inputs!$E$20/10000+(C21/Inputs!$E$22*Inputs!$E$23+C21*Inputs!$E$25)*(Inputs!$E$13-Inputs!$E$14*((C21*(Inputs!$E$16-Inputs!$E$20/10000)+J21)/C21))+Inputs!$E$27*Inputs!$E$28*Inputs!$E$29*(1+Inputs!$E$30*Inputs!$E$31/12)/Inputs!$E$31</f>
        <v/>
      </c>
      <c r="L21" s="58">
        <f>K21-J21</f>
        <v/>
      </c>
      <c r="M21" s="58">
        <f>M20+L21</f>
        <v/>
      </c>
      <c r="N21" s="59">
        <f>IF(M21&gt;=0,1,0)</f>
        <v/>
      </c>
      <c r="O21" s="56">
        <f>Inputs!$E$33+MAX(0,MIN(C21,Inputs!$E$35)-MAX(0,(MIN(C21,Inputs!$E$34))))*Inputs!$E$36+MAX(0,MIN(C21,Inputs!$E$37)-MAX(Inputs!$E$35,(MIN(C21,Inputs!$E$34))))*Inputs!$E$38+MAX(0,MIN(C21,Inputs!$E$39)-MAX(Inputs!$E$37,(MIN(C21,Inputs!$E$34))))*Inputs!$E$40+MAX(0,C21-MAX(Inputs!$E$39,(MIN(C21,Inputs!$E$34))))*Inputs!$E$41-D21</f>
        <v/>
      </c>
      <c r="P21" s="56">
        <f>C21*Inputs!$F$20/10000+(C21/Inputs!$F$22*Inputs!$F$23+C21*Inputs!$F$25)*(Inputs!$F$13-Inputs!$F$14*((C21*(Inputs!$F$16-Inputs!$F$20/10000)+O21)/C21))+Inputs!$F$27*Inputs!$F$28*Inputs!$F$29*(1+Inputs!$F$30*Inputs!$F$31/12)/Inputs!$F$31</f>
        <v/>
      </c>
      <c r="Q21" s="58">
        <f>P21-O21</f>
        <v/>
      </c>
      <c r="R21" s="58">
        <f>R20+Q21</f>
        <v/>
      </c>
      <c r="S21" s="59">
        <f>IF(R21&gt;=0,1,0)</f>
        <v/>
      </c>
    </row>
    <row r="22">
      <c r="A22" s="10" t="inlineStr">
        <is>
          <t>Oct 2027</t>
        </is>
      </c>
      <c r="B22" s="60">
        <f>Inputs!$E$8+(Inputs!$E$11-Inputs!$E$8)*10/(Inputs!$E$45-1)</f>
        <v/>
      </c>
      <c r="C22" s="56">
        <f>B22*Inputs!$E$6</f>
        <v/>
      </c>
      <c r="D22" s="56">
        <f>IF(AND(Inputs!$E$47=1,11&lt;=Inputs!$E$49),Inputs!$E$48,0)</f>
        <v/>
      </c>
      <c r="E22" s="56">
        <f>Inputs!$E$33+MAX(0,MIN(C22,Inputs!$E$35)-MAX(0,(MIN(C22,Inputs!$E$34))))*Inputs!$E$36+MAX(0,MIN(C22,Inputs!$E$37)-MAX(Inputs!$E$35,(MIN(C22,Inputs!$E$34))))*Inputs!$E$38+MAX(0,MIN(C22,Inputs!$E$39)-MAX(Inputs!$E$37,(MIN(C22,Inputs!$E$34))))*Inputs!$E$40+MAX(0,C22-MAX(Inputs!$E$39,(MIN(C22,Inputs!$E$34))))*Inputs!$E$41-D22</f>
        <v/>
      </c>
      <c r="F22" s="56">
        <f>C22*Inputs!$D$20/10000+(C22/Inputs!$D$22*Inputs!$D$23+C22*Inputs!$D$25)*(Inputs!$D$13-Inputs!$D$14*((C22*(Inputs!$D$16-Inputs!$D$20/10000)+E22)/C22))+Inputs!$D$27*Inputs!$D$28*Inputs!$D$29*(1+Inputs!$D$30*Inputs!$D$31/12)/Inputs!$D$31</f>
        <v/>
      </c>
      <c r="G22" s="58">
        <f>F22-E22</f>
        <v/>
      </c>
      <c r="H22" s="58">
        <f>H21+G22</f>
        <v/>
      </c>
      <c r="I22" s="59">
        <f>IF(H22&gt;=0,1,0)</f>
        <v/>
      </c>
      <c r="J22" s="56">
        <f>Inputs!$E$33+MAX(0,MIN(C22,Inputs!$E$35)-MAX(0,(MIN(C22,Inputs!$E$34))))*Inputs!$E$36+MAX(0,MIN(C22,Inputs!$E$37)-MAX(Inputs!$E$35,(MIN(C22,Inputs!$E$34))))*Inputs!$E$38+MAX(0,MIN(C22,Inputs!$E$39)-MAX(Inputs!$E$37,(MIN(C22,Inputs!$E$34))))*Inputs!$E$40+MAX(0,C22-MAX(Inputs!$E$39,(MIN(C22,Inputs!$E$34))))*Inputs!$E$41-D22</f>
        <v/>
      </c>
      <c r="K22" s="56">
        <f>C22*Inputs!$E$20/10000+(C22/Inputs!$E$22*Inputs!$E$23+C22*Inputs!$E$25)*(Inputs!$E$13-Inputs!$E$14*((C22*(Inputs!$E$16-Inputs!$E$20/10000)+J22)/C22))+Inputs!$E$27*Inputs!$E$28*Inputs!$E$29*(1+Inputs!$E$30*Inputs!$E$31/12)/Inputs!$E$31</f>
        <v/>
      </c>
      <c r="L22" s="58">
        <f>K22-J22</f>
        <v/>
      </c>
      <c r="M22" s="58">
        <f>M21+L22</f>
        <v/>
      </c>
      <c r="N22" s="59">
        <f>IF(M22&gt;=0,1,0)</f>
        <v/>
      </c>
      <c r="O22" s="56">
        <f>Inputs!$E$33+MAX(0,MIN(C22,Inputs!$E$35)-MAX(0,(MIN(C22,Inputs!$E$34))))*Inputs!$E$36+MAX(0,MIN(C22,Inputs!$E$37)-MAX(Inputs!$E$35,(MIN(C22,Inputs!$E$34))))*Inputs!$E$38+MAX(0,MIN(C22,Inputs!$E$39)-MAX(Inputs!$E$37,(MIN(C22,Inputs!$E$34))))*Inputs!$E$40+MAX(0,C22-MAX(Inputs!$E$39,(MIN(C22,Inputs!$E$34))))*Inputs!$E$41-D22</f>
        <v/>
      </c>
      <c r="P22" s="56">
        <f>C22*Inputs!$F$20/10000+(C22/Inputs!$F$22*Inputs!$F$23+C22*Inputs!$F$25)*(Inputs!$F$13-Inputs!$F$14*((C22*(Inputs!$F$16-Inputs!$F$20/10000)+O22)/C22))+Inputs!$F$27*Inputs!$F$28*Inputs!$F$29*(1+Inputs!$F$30*Inputs!$F$31/12)/Inputs!$F$31</f>
        <v/>
      </c>
      <c r="Q22" s="58">
        <f>P22-O22</f>
        <v/>
      </c>
      <c r="R22" s="58">
        <f>R21+Q22</f>
        <v/>
      </c>
      <c r="S22" s="59">
        <f>IF(R22&gt;=0,1,0)</f>
        <v/>
      </c>
    </row>
    <row r="23">
      <c r="A23" s="10" t="inlineStr">
        <is>
          <t>Nov 2027</t>
        </is>
      </c>
      <c r="B23" s="60">
        <f>Inputs!$E$8+(Inputs!$E$11-Inputs!$E$8)*11/(Inputs!$E$45-1)</f>
        <v/>
      </c>
      <c r="C23" s="56">
        <f>B23*Inputs!$E$6</f>
        <v/>
      </c>
      <c r="D23" s="56">
        <f>IF(AND(Inputs!$E$47=1,12&lt;=Inputs!$E$49),Inputs!$E$48,0)</f>
        <v/>
      </c>
      <c r="E23" s="56">
        <f>Inputs!$E$33+MAX(0,MIN(C23,Inputs!$E$35)-MAX(0,(MIN(C23,Inputs!$E$34))))*Inputs!$E$36+MAX(0,MIN(C23,Inputs!$E$37)-MAX(Inputs!$E$35,(MIN(C23,Inputs!$E$34))))*Inputs!$E$38+MAX(0,MIN(C23,Inputs!$E$39)-MAX(Inputs!$E$37,(MIN(C23,Inputs!$E$34))))*Inputs!$E$40+MAX(0,C23-MAX(Inputs!$E$39,(MIN(C23,Inputs!$E$34))))*Inputs!$E$41-D23</f>
        <v/>
      </c>
      <c r="F23" s="56">
        <f>C23*Inputs!$D$20/10000+(C23/Inputs!$D$22*Inputs!$D$23+C23*Inputs!$D$25)*(Inputs!$D$13-Inputs!$D$14*((C23*(Inputs!$D$16-Inputs!$D$20/10000)+E23)/C23))+Inputs!$D$27*Inputs!$D$28*Inputs!$D$29*(1+Inputs!$D$30*Inputs!$D$31/12)/Inputs!$D$31</f>
        <v/>
      </c>
      <c r="G23" s="58">
        <f>F23-E23</f>
        <v/>
      </c>
      <c r="H23" s="58">
        <f>H22+G23</f>
        <v/>
      </c>
      <c r="I23" s="59">
        <f>IF(H23&gt;=0,1,0)</f>
        <v/>
      </c>
      <c r="J23" s="56">
        <f>Inputs!$E$33+MAX(0,MIN(C23,Inputs!$E$35)-MAX(0,(MIN(C23,Inputs!$E$34))))*Inputs!$E$36+MAX(0,MIN(C23,Inputs!$E$37)-MAX(Inputs!$E$35,(MIN(C23,Inputs!$E$34))))*Inputs!$E$38+MAX(0,MIN(C23,Inputs!$E$39)-MAX(Inputs!$E$37,(MIN(C23,Inputs!$E$34))))*Inputs!$E$40+MAX(0,C23-MAX(Inputs!$E$39,(MIN(C23,Inputs!$E$34))))*Inputs!$E$41-D23</f>
        <v/>
      </c>
      <c r="K23" s="56">
        <f>C23*Inputs!$E$20/10000+(C23/Inputs!$E$22*Inputs!$E$23+C23*Inputs!$E$25)*(Inputs!$E$13-Inputs!$E$14*((C23*(Inputs!$E$16-Inputs!$E$20/10000)+J23)/C23))+Inputs!$E$27*Inputs!$E$28*Inputs!$E$29*(1+Inputs!$E$30*Inputs!$E$31/12)/Inputs!$E$31</f>
        <v/>
      </c>
      <c r="L23" s="58">
        <f>K23-J23</f>
        <v/>
      </c>
      <c r="M23" s="58">
        <f>M22+L23</f>
        <v/>
      </c>
      <c r="N23" s="59">
        <f>IF(M23&gt;=0,1,0)</f>
        <v/>
      </c>
      <c r="O23" s="56">
        <f>Inputs!$E$33+MAX(0,MIN(C23,Inputs!$E$35)-MAX(0,(MIN(C23,Inputs!$E$34))))*Inputs!$E$36+MAX(0,MIN(C23,Inputs!$E$37)-MAX(Inputs!$E$35,(MIN(C23,Inputs!$E$34))))*Inputs!$E$38+MAX(0,MIN(C23,Inputs!$E$39)-MAX(Inputs!$E$37,(MIN(C23,Inputs!$E$34))))*Inputs!$E$40+MAX(0,C23-MAX(Inputs!$E$39,(MIN(C23,Inputs!$E$34))))*Inputs!$E$41-D23</f>
        <v/>
      </c>
      <c r="P23" s="56">
        <f>C23*Inputs!$F$20/10000+(C23/Inputs!$F$22*Inputs!$F$23+C23*Inputs!$F$25)*(Inputs!$F$13-Inputs!$F$14*((C23*(Inputs!$F$16-Inputs!$F$20/10000)+O23)/C23))+Inputs!$F$27*Inputs!$F$28*Inputs!$F$29*(1+Inputs!$F$30*Inputs!$F$31/12)/Inputs!$F$31</f>
        <v/>
      </c>
      <c r="Q23" s="58">
        <f>P23-O23</f>
        <v/>
      </c>
      <c r="R23" s="58">
        <f>R22+Q23</f>
        <v/>
      </c>
      <c r="S23" s="59">
        <f>IF(R23&gt;=0,1,0)</f>
        <v/>
      </c>
    </row>
    <row r="24">
      <c r="A24" s="10" t="inlineStr">
        <is>
          <t>Dec 2027</t>
        </is>
      </c>
      <c r="B24" s="60">
        <f>Inputs!$E$8+(Inputs!$E$11-Inputs!$E$8)*12/(Inputs!$E$45-1)</f>
        <v/>
      </c>
      <c r="C24" s="56">
        <f>B24*Inputs!$E$6</f>
        <v/>
      </c>
      <c r="D24" s="56">
        <f>IF(AND(Inputs!$E$47=1,13&lt;=Inputs!$E$49),Inputs!$E$48,0)</f>
        <v/>
      </c>
      <c r="E24" s="56">
        <f>Inputs!$E$33+MAX(0,MIN(C24,Inputs!$E$35)-MAX(0,(MIN(C24,Inputs!$E$34))))*Inputs!$E$36+MAX(0,MIN(C24,Inputs!$E$37)-MAX(Inputs!$E$35,(MIN(C24,Inputs!$E$34))))*Inputs!$E$38+MAX(0,MIN(C24,Inputs!$E$39)-MAX(Inputs!$E$37,(MIN(C24,Inputs!$E$34))))*Inputs!$E$40+MAX(0,C24-MAX(Inputs!$E$39,(MIN(C24,Inputs!$E$34))))*Inputs!$E$41-D24</f>
        <v/>
      </c>
      <c r="F24" s="56">
        <f>C24*Inputs!$D$20/10000+(C24/Inputs!$D$22*Inputs!$D$23+C24*Inputs!$D$25)*(Inputs!$D$13-Inputs!$D$14*((C24*(Inputs!$D$16-Inputs!$D$20/10000)+E24)/C24))+Inputs!$D$27*Inputs!$D$28*Inputs!$D$29*(1+Inputs!$D$30*Inputs!$D$31/12)/Inputs!$D$31</f>
        <v/>
      </c>
      <c r="G24" s="58">
        <f>F24-E24</f>
        <v/>
      </c>
      <c r="H24" s="58">
        <f>H23+G24</f>
        <v/>
      </c>
      <c r="I24" s="59">
        <f>IF(H24&gt;=0,1,0)</f>
        <v/>
      </c>
      <c r="J24" s="56">
        <f>Inputs!$E$33+MAX(0,MIN(C24,Inputs!$E$35)-MAX(0,(MIN(C24,Inputs!$E$34))))*Inputs!$E$36+MAX(0,MIN(C24,Inputs!$E$37)-MAX(Inputs!$E$35,(MIN(C24,Inputs!$E$34))))*Inputs!$E$38+MAX(0,MIN(C24,Inputs!$E$39)-MAX(Inputs!$E$37,(MIN(C24,Inputs!$E$34))))*Inputs!$E$40+MAX(0,C24-MAX(Inputs!$E$39,(MIN(C24,Inputs!$E$34))))*Inputs!$E$41-D24</f>
        <v/>
      </c>
      <c r="K24" s="56">
        <f>C24*Inputs!$E$20/10000+(C24/Inputs!$E$22*Inputs!$E$23+C24*Inputs!$E$25)*(Inputs!$E$13-Inputs!$E$14*((C24*(Inputs!$E$16-Inputs!$E$20/10000)+J24)/C24))+Inputs!$E$27*Inputs!$E$28*Inputs!$E$29*(1+Inputs!$E$30*Inputs!$E$31/12)/Inputs!$E$31</f>
        <v/>
      </c>
      <c r="L24" s="58">
        <f>K24-J24</f>
        <v/>
      </c>
      <c r="M24" s="58">
        <f>M23+L24</f>
        <v/>
      </c>
      <c r="N24" s="59">
        <f>IF(M24&gt;=0,1,0)</f>
        <v/>
      </c>
      <c r="O24" s="56">
        <f>Inputs!$E$33+MAX(0,MIN(C24,Inputs!$E$35)-MAX(0,(MIN(C24,Inputs!$E$34))))*Inputs!$E$36+MAX(0,MIN(C24,Inputs!$E$37)-MAX(Inputs!$E$35,(MIN(C24,Inputs!$E$34))))*Inputs!$E$38+MAX(0,MIN(C24,Inputs!$E$39)-MAX(Inputs!$E$37,(MIN(C24,Inputs!$E$34))))*Inputs!$E$40+MAX(0,C24-MAX(Inputs!$E$39,(MIN(C24,Inputs!$E$34))))*Inputs!$E$41-D24</f>
        <v/>
      </c>
      <c r="P24" s="56">
        <f>C24*Inputs!$F$20/10000+(C24/Inputs!$F$22*Inputs!$F$23+C24*Inputs!$F$25)*(Inputs!$F$13-Inputs!$F$14*((C24*(Inputs!$F$16-Inputs!$F$20/10000)+O24)/C24))+Inputs!$F$27*Inputs!$F$28*Inputs!$F$29*(1+Inputs!$F$30*Inputs!$F$31/12)/Inputs!$F$31</f>
        <v/>
      </c>
      <c r="Q24" s="58">
        <f>P24-O24</f>
        <v/>
      </c>
      <c r="R24" s="58">
        <f>R23+Q24</f>
        <v/>
      </c>
      <c r="S24" s="59">
        <f>IF(R24&gt;=0,1,0)</f>
        <v/>
      </c>
    </row>
    <row r="25">
      <c r="A25" s="62" t="inlineStr">
        <is>
          <t>Total ramp</t>
        </is>
      </c>
      <c r="B25" s="63">
        <f>SUM(B12:B24)</f>
        <v/>
      </c>
      <c r="C25" s="64">
        <f>SUM(C12:C24)</f>
        <v/>
      </c>
      <c r="D25" s="64">
        <f>SUM(D12:D24)</f>
        <v/>
      </c>
      <c r="E25" s="64">
        <f>SUM(E12:E24)</f>
        <v/>
      </c>
      <c r="F25" s="64">
        <f>SUM(F12:F24)</f>
        <v/>
      </c>
      <c r="G25" s="64">
        <f>SUM(G12:G24)</f>
        <v/>
      </c>
      <c r="J25" s="64">
        <f>SUM(J12:J24)</f>
        <v/>
      </c>
      <c r="K25" s="64">
        <f>SUM(K12:K24)</f>
        <v/>
      </c>
      <c r="L25" s="64">
        <f>SUM(L12:L24)</f>
        <v/>
      </c>
      <c r="O25" s="64">
        <f>SUM(O12:O24)</f>
        <v/>
      </c>
      <c r="P25" s="64">
        <f>SUM(P12:P24)</f>
        <v/>
      </c>
      <c r="Q25" s="64">
        <f>SUM(Q12:Q24)</f>
        <v/>
      </c>
    </row>
  </sheetData>
  <mergeCells count="10">
    <mergeCell ref="A1:T1"/>
    <mergeCell ref="A4:B4"/>
    <mergeCell ref="E4:F4"/>
    <mergeCell ref="G4:H4"/>
    <mergeCell ref="I4:J4"/>
    <mergeCell ref="O10:S10"/>
    <mergeCell ref="E10:I10"/>
    <mergeCell ref="J10:N10"/>
    <mergeCell ref="A2:T2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Sensitivity · ticket size, take rate, baseline provider cost</t>
        </is>
      </c>
    </row>
    <row r="2" ht="15.75" customHeight="1">
      <c r="A2" s="2" t="inlineStr">
        <is>
          <t>Base scenario unless stated. Each block recomputes from Inputs; nothing typed.</t>
        </is>
      </c>
    </row>
    <row r="3" ht="9.75" customHeight="1"/>
    <row r="4" ht="18" customHeight="1">
      <c r="A4" s="19" t="inlineStr">
        <is>
          <t>A · Ticket size: Yuno proposal vs hypothetical fixed fees (all tiers)</t>
        </is>
      </c>
    </row>
    <row r="5" ht="18" customHeight="1">
      <c r="A5" s="6" t="inlineStr">
        <is>
          <t>Ticket · line</t>
        </is>
      </c>
      <c r="B5" s="7">
        <f>Inputs!$E$8</f>
        <v/>
      </c>
      <c r="C5" s="7">
        <f>Inputs!$E$9</f>
        <v/>
      </c>
      <c r="D5" s="7">
        <f>Inputs!$E$10</f>
        <v/>
      </c>
      <c r="E5" s="7">
        <f>Inputs!$E$11</f>
        <v/>
      </c>
    </row>
    <row r="6">
      <c r="A6" s="62" t="inlineStr">
        <is>
          <t>Ticket $5 (median)</t>
        </is>
      </c>
      <c r="B6" s="65">
        <f>Inputs!$E$7</f>
        <v/>
      </c>
      <c r="C6" s="66" t="n"/>
      <c r="D6" s="66" t="n"/>
      <c r="E6" s="66" t="n"/>
    </row>
    <row r="7">
      <c r="A7" s="10" t="inlineStr">
        <is>
          <t xml:space="preserve">   Net TPV a month</t>
        </is>
      </c>
      <c r="B7" s="11">
        <f>Inputs!$E$8*$B$6</f>
        <v/>
      </c>
      <c r="C7" s="11">
        <f>Inputs!$E$9*$B$6</f>
        <v/>
      </c>
      <c r="D7" s="11">
        <f>Inputs!$E$10*$B$6</f>
        <v/>
      </c>
      <c r="E7" s="11">
        <f>Inputs!$E$11*$B$6</f>
        <v/>
      </c>
    </row>
    <row r="8">
      <c r="A8" s="10" t="inlineStr">
        <is>
          <t xml:space="preserve">   Yuno total a month</t>
        </is>
      </c>
      <c r="B8" s="16">
        <f>Inputs!$E$33+MAX(0,MIN(B7,Inputs!$E$35)-MAX(0,(MIN(B7,Inputs!$E$34))))*Inputs!$E$36+MAX(0,MIN(B7,Inputs!$E$37)-MAX(Inputs!$E$35,(MIN(B7,Inputs!$E$34))))*Inputs!$E$38+MAX(0,MIN(B7,Inputs!$E$39)-MAX(Inputs!$E$37,(MIN(B7,Inputs!$E$34))))*Inputs!$E$40+MAX(0,B7-MAX(Inputs!$E$39,(MIN(B7,Inputs!$E$34))))*Inputs!$E$41</f>
        <v/>
      </c>
      <c r="C8" s="16">
        <f>Inputs!$E$33+MAX(0,MIN(C7,Inputs!$E$35)-MAX(0,(MIN(C7,Inputs!$E$34))))*Inputs!$E$36+MAX(0,MIN(C7,Inputs!$E$37)-MAX(Inputs!$E$35,(MIN(C7,Inputs!$E$34))))*Inputs!$E$38+MAX(0,MIN(C7,Inputs!$E$39)-MAX(Inputs!$E$37,(MIN(C7,Inputs!$E$34))))*Inputs!$E$40+MAX(0,C7-MAX(Inputs!$E$39,(MIN(C7,Inputs!$E$34))))*Inputs!$E$41</f>
        <v/>
      </c>
      <c r="D8" s="16">
        <f>Inputs!$E$33+MAX(0,MIN(D7,Inputs!$E$35)-MAX(0,(MIN(D7,Inputs!$E$34))))*Inputs!$E$36+MAX(0,MIN(D7,Inputs!$E$37)-MAX(Inputs!$E$35,(MIN(D7,Inputs!$E$34))))*Inputs!$E$38+MAX(0,MIN(D7,Inputs!$E$39)-MAX(Inputs!$E$37,(MIN(D7,Inputs!$E$34))))*Inputs!$E$40+MAX(0,D7-MAX(Inputs!$E$39,(MIN(D7,Inputs!$E$34))))*Inputs!$E$41</f>
        <v/>
      </c>
      <c r="E8" s="16">
        <f>Inputs!$E$33+MAX(0,MIN(E7,Inputs!$E$35)-MAX(0,(MIN(E7,Inputs!$E$34))))*Inputs!$E$36+MAX(0,MIN(E7,Inputs!$E$37)-MAX(Inputs!$E$35,(MIN(E7,Inputs!$E$34))))*Inputs!$E$38+MAX(0,MIN(E7,Inputs!$E$39)-MAX(Inputs!$E$37,(MIN(E7,Inputs!$E$34))))*Inputs!$E$40+MAX(0,E7-MAX(Inputs!$E$39,(MIN(E7,Inputs!$E$34))))*Inputs!$E$41</f>
        <v/>
      </c>
    </row>
    <row r="9">
      <c r="A9" s="10" t="inlineStr">
        <is>
          <t xml:space="preserve">   Yuno usage only</t>
        </is>
      </c>
      <c r="B9" s="11">
        <f>B8-Inputs!$E$33</f>
        <v/>
      </c>
      <c r="C9" s="11">
        <f>C8-Inputs!$E$33</f>
        <v/>
      </c>
      <c r="D9" s="11">
        <f>D8-Inputs!$E$33</f>
        <v/>
      </c>
      <c r="E9" s="11">
        <f>E8-Inputs!$E$33</f>
        <v/>
      </c>
    </row>
    <row r="10">
      <c r="A10" s="10" t="inlineStr">
        <is>
          <t xml:space="preserve">   Yuno, % of TPV</t>
        </is>
      </c>
      <c r="B10" s="49">
        <f>B8/B7</f>
        <v/>
      </c>
      <c r="C10" s="49">
        <f>C8/C7</f>
        <v/>
      </c>
      <c r="D10" s="49">
        <f>D8/D7</f>
        <v/>
      </c>
      <c r="E10" s="49">
        <f>E8/E7</f>
        <v/>
      </c>
    </row>
    <row r="11">
      <c r="A11" s="10" t="inlineStr">
        <is>
          <t xml:space="preserve">   Yuno, $ per transaction</t>
        </is>
      </c>
      <c r="B11" s="42">
        <f>B8/Inputs!$E$8</f>
        <v/>
      </c>
      <c r="C11" s="42">
        <f>C8/Inputs!$E$9</f>
        <v/>
      </c>
      <c r="D11" s="42">
        <f>D8/Inputs!$E$10</f>
        <v/>
      </c>
      <c r="E11" s="42">
        <f>E8/Inputs!$E$11</f>
        <v/>
      </c>
    </row>
    <row r="12">
      <c r="A12" s="10" t="inlineStr">
        <is>
          <t xml:space="preserve">   Yuno usage only, $ per transaction</t>
        </is>
      </c>
      <c r="B12" s="42">
        <f>B9/Inputs!$E$8</f>
        <v/>
      </c>
      <c r="C12" s="42">
        <f>C9/Inputs!$E$9</f>
        <v/>
      </c>
      <c r="D12" s="42">
        <f>D9/Inputs!$E$10</f>
        <v/>
      </c>
      <c r="E12" s="42">
        <f>E9/Inputs!$E$11</f>
        <v/>
      </c>
    </row>
    <row r="13">
      <c r="A13" s="10" t="inlineStr">
        <is>
          <t xml:space="preserve">   Fixed fee A a month</t>
        </is>
      </c>
      <c r="B13" s="11">
        <f>Inputs!$E$8*Inputs!$E$42</f>
        <v/>
      </c>
      <c r="C13" s="11">
        <f>Inputs!$E$9*Inputs!$E$42</f>
        <v/>
      </c>
      <c r="D13" s="11">
        <f>Inputs!$E$10*Inputs!$E$42</f>
        <v/>
      </c>
      <c r="E13" s="11">
        <f>Inputs!$E$11*Inputs!$E$42</f>
        <v/>
      </c>
    </row>
    <row r="14">
      <c r="A14" s="10" t="inlineStr">
        <is>
          <t xml:space="preserve">   Fixed fee A, % of TPV</t>
        </is>
      </c>
      <c r="B14" s="36">
        <f>B13/B7</f>
        <v/>
      </c>
      <c r="C14" s="36">
        <f>C13/C7</f>
        <v/>
      </c>
      <c r="D14" s="36">
        <f>D13/D7</f>
        <v/>
      </c>
      <c r="E14" s="36">
        <f>E13/E7</f>
        <v/>
      </c>
    </row>
    <row r="15">
      <c r="A15" s="10" t="inlineStr">
        <is>
          <t xml:space="preserve">   Fixed fee B a month</t>
        </is>
      </c>
      <c r="B15" s="11">
        <f>Inputs!$E$8*Inputs!$E$43</f>
        <v/>
      </c>
      <c r="C15" s="11">
        <f>Inputs!$E$9*Inputs!$E$43</f>
        <v/>
      </c>
      <c r="D15" s="11">
        <f>Inputs!$E$10*Inputs!$E$43</f>
        <v/>
      </c>
      <c r="E15" s="11">
        <f>Inputs!$E$11*Inputs!$E$43</f>
        <v/>
      </c>
    </row>
    <row r="16">
      <c r="A16" s="10" t="inlineStr">
        <is>
          <t xml:space="preserve">   Fixed fee B, % of TPV</t>
        </is>
      </c>
      <c r="B16" s="36">
        <f>B15/B7</f>
        <v/>
      </c>
      <c r="C16" s="36">
        <f>C15/C7</f>
        <v/>
      </c>
      <c r="D16" s="36">
        <f>D15/D7</f>
        <v/>
      </c>
      <c r="E16" s="36">
        <f>E15/E7</f>
        <v/>
      </c>
    </row>
    <row r="18">
      <c r="A18" s="62" t="inlineStr">
        <is>
          <t>Ticket $10 (average)</t>
        </is>
      </c>
      <c r="B18" s="65">
        <f>Inputs!$E$6</f>
        <v/>
      </c>
      <c r="C18" s="66" t="n"/>
      <c r="D18" s="66" t="n"/>
      <c r="E18" s="66" t="n"/>
    </row>
    <row r="19">
      <c r="A19" s="10" t="inlineStr">
        <is>
          <t xml:space="preserve">   Net TPV a month</t>
        </is>
      </c>
      <c r="B19" s="11">
        <f>Inputs!$E$8*$B$18</f>
        <v/>
      </c>
      <c r="C19" s="11">
        <f>Inputs!$E$9*$B$18</f>
        <v/>
      </c>
      <c r="D19" s="11">
        <f>Inputs!$E$10*$B$18</f>
        <v/>
      </c>
      <c r="E19" s="11">
        <f>Inputs!$E$11*$B$18</f>
        <v/>
      </c>
    </row>
    <row r="20">
      <c r="A20" s="10" t="inlineStr">
        <is>
          <t xml:space="preserve">   Yuno total a month</t>
        </is>
      </c>
      <c r="B20" s="16">
        <f>Inputs!$E$33+MAX(0,MIN(B19,Inputs!$E$35)-MAX(0,(MIN(B19,Inputs!$E$34))))*Inputs!$E$36+MAX(0,MIN(B19,Inputs!$E$37)-MAX(Inputs!$E$35,(MIN(B19,Inputs!$E$34))))*Inputs!$E$38+MAX(0,MIN(B19,Inputs!$E$39)-MAX(Inputs!$E$37,(MIN(B19,Inputs!$E$34))))*Inputs!$E$40+MAX(0,B19-MAX(Inputs!$E$39,(MIN(B19,Inputs!$E$34))))*Inputs!$E$41</f>
        <v/>
      </c>
      <c r="C20" s="16">
        <f>Inputs!$E$33+MAX(0,MIN(C19,Inputs!$E$35)-MAX(0,(MIN(C19,Inputs!$E$34))))*Inputs!$E$36+MAX(0,MIN(C19,Inputs!$E$37)-MAX(Inputs!$E$35,(MIN(C19,Inputs!$E$34))))*Inputs!$E$38+MAX(0,MIN(C19,Inputs!$E$39)-MAX(Inputs!$E$37,(MIN(C19,Inputs!$E$34))))*Inputs!$E$40+MAX(0,C19-MAX(Inputs!$E$39,(MIN(C19,Inputs!$E$34))))*Inputs!$E$41</f>
        <v/>
      </c>
      <c r="D20" s="16">
        <f>Inputs!$E$33+MAX(0,MIN(D19,Inputs!$E$35)-MAX(0,(MIN(D19,Inputs!$E$34))))*Inputs!$E$36+MAX(0,MIN(D19,Inputs!$E$37)-MAX(Inputs!$E$35,(MIN(D19,Inputs!$E$34))))*Inputs!$E$38+MAX(0,MIN(D19,Inputs!$E$39)-MAX(Inputs!$E$37,(MIN(D19,Inputs!$E$34))))*Inputs!$E$40+MAX(0,D19-MAX(Inputs!$E$39,(MIN(D19,Inputs!$E$34))))*Inputs!$E$41</f>
        <v/>
      </c>
      <c r="E20" s="16">
        <f>Inputs!$E$33+MAX(0,MIN(E19,Inputs!$E$35)-MAX(0,(MIN(E19,Inputs!$E$34))))*Inputs!$E$36+MAX(0,MIN(E19,Inputs!$E$37)-MAX(Inputs!$E$35,(MIN(E19,Inputs!$E$34))))*Inputs!$E$38+MAX(0,MIN(E19,Inputs!$E$39)-MAX(Inputs!$E$37,(MIN(E19,Inputs!$E$34))))*Inputs!$E$40+MAX(0,E19-MAX(Inputs!$E$39,(MIN(E19,Inputs!$E$34))))*Inputs!$E$41</f>
        <v/>
      </c>
    </row>
    <row r="21">
      <c r="A21" s="10" t="inlineStr">
        <is>
          <t xml:space="preserve">   Yuno usage only</t>
        </is>
      </c>
      <c r="B21" s="11">
        <f>B20-Inputs!$E$33</f>
        <v/>
      </c>
      <c r="C21" s="11">
        <f>C20-Inputs!$E$33</f>
        <v/>
      </c>
      <c r="D21" s="11">
        <f>D20-Inputs!$E$33</f>
        <v/>
      </c>
      <c r="E21" s="11">
        <f>E20-Inputs!$E$33</f>
        <v/>
      </c>
    </row>
    <row r="22">
      <c r="A22" s="10" t="inlineStr">
        <is>
          <t xml:space="preserve">   Yuno, % of TPV</t>
        </is>
      </c>
      <c r="B22" s="49">
        <f>B20/B19</f>
        <v/>
      </c>
      <c r="C22" s="49">
        <f>C20/C19</f>
        <v/>
      </c>
      <c r="D22" s="49">
        <f>D20/D19</f>
        <v/>
      </c>
      <c r="E22" s="49">
        <f>E20/E19</f>
        <v/>
      </c>
    </row>
    <row r="23">
      <c r="A23" s="10" t="inlineStr">
        <is>
          <t xml:space="preserve">   Yuno, $ per transaction</t>
        </is>
      </c>
      <c r="B23" s="42">
        <f>B20/Inputs!$E$8</f>
        <v/>
      </c>
      <c r="C23" s="42">
        <f>C20/Inputs!$E$9</f>
        <v/>
      </c>
      <c r="D23" s="42">
        <f>D20/Inputs!$E$10</f>
        <v/>
      </c>
      <c r="E23" s="42">
        <f>E20/Inputs!$E$11</f>
        <v/>
      </c>
    </row>
    <row r="24">
      <c r="A24" s="10" t="inlineStr">
        <is>
          <t xml:space="preserve">   Yuno usage only, $ per transaction</t>
        </is>
      </c>
      <c r="B24" s="42">
        <f>B21/Inputs!$E$8</f>
        <v/>
      </c>
      <c r="C24" s="42">
        <f>C21/Inputs!$E$9</f>
        <v/>
      </c>
      <c r="D24" s="42">
        <f>D21/Inputs!$E$10</f>
        <v/>
      </c>
      <c r="E24" s="42">
        <f>E21/Inputs!$E$11</f>
        <v/>
      </c>
    </row>
    <row r="25">
      <c r="A25" s="10" t="inlineStr">
        <is>
          <t xml:space="preserve">   Fixed fee A a month</t>
        </is>
      </c>
      <c r="B25" s="11">
        <f>Inputs!$E$8*Inputs!$E$42</f>
        <v/>
      </c>
      <c r="C25" s="11">
        <f>Inputs!$E$9*Inputs!$E$42</f>
        <v/>
      </c>
      <c r="D25" s="11">
        <f>Inputs!$E$10*Inputs!$E$42</f>
        <v/>
      </c>
      <c r="E25" s="11">
        <f>Inputs!$E$11*Inputs!$E$42</f>
        <v/>
      </c>
    </row>
    <row r="26">
      <c r="A26" s="10" t="inlineStr">
        <is>
          <t xml:space="preserve">   Fixed fee A, % of TPV</t>
        </is>
      </c>
      <c r="B26" s="36">
        <f>B25/B19</f>
        <v/>
      </c>
      <c r="C26" s="36">
        <f>C25/C19</f>
        <v/>
      </c>
      <c r="D26" s="36">
        <f>D25/D19</f>
        <v/>
      </c>
      <c r="E26" s="36">
        <f>E25/E19</f>
        <v/>
      </c>
    </row>
    <row r="27">
      <c r="A27" s="10" t="inlineStr">
        <is>
          <t xml:space="preserve">   Fixed fee B a month</t>
        </is>
      </c>
      <c r="B27" s="11">
        <f>Inputs!$E$8*Inputs!$E$43</f>
        <v/>
      </c>
      <c r="C27" s="11">
        <f>Inputs!$E$9*Inputs!$E$43</f>
        <v/>
      </c>
      <c r="D27" s="11">
        <f>Inputs!$E$10*Inputs!$E$43</f>
        <v/>
      </c>
      <c r="E27" s="11">
        <f>Inputs!$E$11*Inputs!$E$43</f>
        <v/>
      </c>
    </row>
    <row r="28">
      <c r="A28" s="10" t="inlineStr">
        <is>
          <t xml:space="preserve">   Fixed fee B, % of TPV</t>
        </is>
      </c>
      <c r="B28" s="36">
        <f>B27/B19</f>
        <v/>
      </c>
      <c r="C28" s="36">
        <f>C27/C19</f>
        <v/>
      </c>
      <c r="D28" s="36">
        <f>D27/D19</f>
        <v/>
      </c>
      <c r="E28" s="36">
        <f>E27/E19</f>
        <v/>
      </c>
    </row>
    <row r="30">
      <c r="A30" s="62" t="inlineStr">
        <is>
          <t>Ticket $15</t>
        </is>
      </c>
      <c r="B30" s="67">
        <f>15</f>
        <v/>
      </c>
      <c r="C30" s="66" t="n"/>
      <c r="D30" s="66" t="n"/>
      <c r="E30" s="66" t="n"/>
    </row>
    <row r="31">
      <c r="A31" s="10" t="inlineStr">
        <is>
          <t xml:space="preserve">   Net TPV a month</t>
        </is>
      </c>
      <c r="B31" s="11">
        <f>Inputs!$E$8*$B$30</f>
        <v/>
      </c>
      <c r="C31" s="11">
        <f>Inputs!$E$9*$B$30</f>
        <v/>
      </c>
      <c r="D31" s="11">
        <f>Inputs!$E$10*$B$30</f>
        <v/>
      </c>
      <c r="E31" s="11">
        <f>Inputs!$E$11*$B$30</f>
        <v/>
      </c>
    </row>
    <row r="32">
      <c r="A32" s="10" t="inlineStr">
        <is>
          <t xml:space="preserve">   Yuno total a month</t>
        </is>
      </c>
      <c r="B32" s="16">
        <f>Inputs!$E$33+MAX(0,MIN(B31,Inputs!$E$35)-MAX(0,(MIN(B31,Inputs!$E$34))))*Inputs!$E$36+MAX(0,MIN(B31,Inputs!$E$37)-MAX(Inputs!$E$35,(MIN(B31,Inputs!$E$34))))*Inputs!$E$38+MAX(0,MIN(B31,Inputs!$E$39)-MAX(Inputs!$E$37,(MIN(B31,Inputs!$E$34))))*Inputs!$E$40+MAX(0,B31-MAX(Inputs!$E$39,(MIN(B31,Inputs!$E$34))))*Inputs!$E$41</f>
        <v/>
      </c>
      <c r="C32" s="16">
        <f>Inputs!$E$33+MAX(0,MIN(C31,Inputs!$E$35)-MAX(0,(MIN(C31,Inputs!$E$34))))*Inputs!$E$36+MAX(0,MIN(C31,Inputs!$E$37)-MAX(Inputs!$E$35,(MIN(C31,Inputs!$E$34))))*Inputs!$E$38+MAX(0,MIN(C31,Inputs!$E$39)-MAX(Inputs!$E$37,(MIN(C31,Inputs!$E$34))))*Inputs!$E$40+MAX(0,C31-MAX(Inputs!$E$39,(MIN(C31,Inputs!$E$34))))*Inputs!$E$41</f>
        <v/>
      </c>
      <c r="D32" s="16">
        <f>Inputs!$E$33+MAX(0,MIN(D31,Inputs!$E$35)-MAX(0,(MIN(D31,Inputs!$E$34))))*Inputs!$E$36+MAX(0,MIN(D31,Inputs!$E$37)-MAX(Inputs!$E$35,(MIN(D31,Inputs!$E$34))))*Inputs!$E$38+MAX(0,MIN(D31,Inputs!$E$39)-MAX(Inputs!$E$37,(MIN(D31,Inputs!$E$34))))*Inputs!$E$40+MAX(0,D31-MAX(Inputs!$E$39,(MIN(D31,Inputs!$E$34))))*Inputs!$E$41</f>
        <v/>
      </c>
      <c r="E32" s="16">
        <f>Inputs!$E$33+MAX(0,MIN(E31,Inputs!$E$35)-MAX(0,(MIN(E31,Inputs!$E$34))))*Inputs!$E$36+MAX(0,MIN(E31,Inputs!$E$37)-MAX(Inputs!$E$35,(MIN(E31,Inputs!$E$34))))*Inputs!$E$38+MAX(0,MIN(E31,Inputs!$E$39)-MAX(Inputs!$E$37,(MIN(E31,Inputs!$E$34))))*Inputs!$E$40+MAX(0,E31-MAX(Inputs!$E$39,(MIN(E31,Inputs!$E$34))))*Inputs!$E$41</f>
        <v/>
      </c>
    </row>
    <row r="33">
      <c r="A33" s="10" t="inlineStr">
        <is>
          <t xml:space="preserve">   Yuno usage only</t>
        </is>
      </c>
      <c r="B33" s="11">
        <f>B32-Inputs!$E$33</f>
        <v/>
      </c>
      <c r="C33" s="11">
        <f>C32-Inputs!$E$33</f>
        <v/>
      </c>
      <c r="D33" s="11">
        <f>D32-Inputs!$E$33</f>
        <v/>
      </c>
      <c r="E33" s="11">
        <f>E32-Inputs!$E$33</f>
        <v/>
      </c>
    </row>
    <row r="34">
      <c r="A34" s="10" t="inlineStr">
        <is>
          <t xml:space="preserve">   Yuno, % of TPV</t>
        </is>
      </c>
      <c r="B34" s="49">
        <f>B32/B31</f>
        <v/>
      </c>
      <c r="C34" s="49">
        <f>C32/C31</f>
        <v/>
      </c>
      <c r="D34" s="49">
        <f>D32/D31</f>
        <v/>
      </c>
      <c r="E34" s="49">
        <f>E32/E31</f>
        <v/>
      </c>
    </row>
    <row r="35">
      <c r="A35" s="10" t="inlineStr">
        <is>
          <t xml:space="preserve">   Yuno, $ per transaction</t>
        </is>
      </c>
      <c r="B35" s="42">
        <f>B32/Inputs!$E$8</f>
        <v/>
      </c>
      <c r="C35" s="42">
        <f>C32/Inputs!$E$9</f>
        <v/>
      </c>
      <c r="D35" s="42">
        <f>D32/Inputs!$E$10</f>
        <v/>
      </c>
      <c r="E35" s="42">
        <f>E32/Inputs!$E$11</f>
        <v/>
      </c>
    </row>
    <row r="36">
      <c r="A36" s="10" t="inlineStr">
        <is>
          <t xml:space="preserve">   Yuno usage only, $ per transaction</t>
        </is>
      </c>
      <c r="B36" s="42">
        <f>B33/Inputs!$E$8</f>
        <v/>
      </c>
      <c r="C36" s="42">
        <f>C33/Inputs!$E$9</f>
        <v/>
      </c>
      <c r="D36" s="42">
        <f>D33/Inputs!$E$10</f>
        <v/>
      </c>
      <c r="E36" s="42">
        <f>E33/Inputs!$E$11</f>
        <v/>
      </c>
    </row>
    <row r="37">
      <c r="A37" s="10" t="inlineStr">
        <is>
          <t xml:space="preserve">   Fixed fee A a month</t>
        </is>
      </c>
      <c r="B37" s="11">
        <f>Inputs!$E$8*Inputs!$E$42</f>
        <v/>
      </c>
      <c r="C37" s="11">
        <f>Inputs!$E$9*Inputs!$E$42</f>
        <v/>
      </c>
      <c r="D37" s="11">
        <f>Inputs!$E$10*Inputs!$E$42</f>
        <v/>
      </c>
      <c r="E37" s="11">
        <f>Inputs!$E$11*Inputs!$E$42</f>
        <v/>
      </c>
    </row>
    <row r="38">
      <c r="A38" s="10" t="inlineStr">
        <is>
          <t xml:space="preserve">   Fixed fee A, % of TPV</t>
        </is>
      </c>
      <c r="B38" s="36">
        <f>B37/B31</f>
        <v/>
      </c>
      <c r="C38" s="36">
        <f>C37/C31</f>
        <v/>
      </c>
      <c r="D38" s="36">
        <f>D37/D31</f>
        <v/>
      </c>
      <c r="E38" s="36">
        <f>E37/E31</f>
        <v/>
      </c>
    </row>
    <row r="39">
      <c r="A39" s="10" t="inlineStr">
        <is>
          <t xml:space="preserve">   Fixed fee B a month</t>
        </is>
      </c>
      <c r="B39" s="11">
        <f>Inputs!$E$8*Inputs!$E$43</f>
        <v/>
      </c>
      <c r="C39" s="11">
        <f>Inputs!$E$9*Inputs!$E$43</f>
        <v/>
      </c>
      <c r="D39" s="11">
        <f>Inputs!$E$10*Inputs!$E$43</f>
        <v/>
      </c>
      <c r="E39" s="11">
        <f>Inputs!$E$11*Inputs!$E$43</f>
        <v/>
      </c>
    </row>
    <row r="40">
      <c r="A40" s="10" t="inlineStr">
        <is>
          <t xml:space="preserve">   Fixed fee B, % of TPV</t>
        </is>
      </c>
      <c r="B40" s="36">
        <f>B39/B31</f>
        <v/>
      </c>
      <c r="C40" s="36">
        <f>C39/C31</f>
        <v/>
      </c>
      <c r="D40" s="36">
        <f>D39/D31</f>
        <v/>
      </c>
      <c r="E40" s="36">
        <f>E39/E31</f>
        <v/>
      </c>
    </row>
    <row r="42" ht="18" customHeight="1">
      <c r="A42" s="19" t="inlineStr">
        <is>
          <t>B · Take rate on GMV: net benefit a month, base scenario (contribution view)</t>
        </is>
      </c>
    </row>
    <row r="43" ht="18" customHeight="1">
      <c r="A43" s="6" t="inlineStr">
        <is>
          <t>Take rate</t>
        </is>
      </c>
      <c r="B43" s="6" t="inlineStr">
        <is>
          <t>Net at tier 1</t>
        </is>
      </c>
      <c r="C43" s="6" t="inlineStr">
        <is>
          <t>Net at tier 4</t>
        </is>
      </c>
      <c r="D43" s="6" t="inlineStr">
        <is>
          <t>Net a year at tier 4</t>
        </is>
      </c>
      <c r="E43" s="6" t="inlineStr">
        <is>
          <t>Gross / Yuno at tier 4</t>
        </is>
      </c>
    </row>
    <row r="44">
      <c r="A44" s="68" t="n">
        <v>0.1</v>
      </c>
      <c r="B44" s="16">
        <f>Model!F29+(Model!F31+Model!F33)*($A44-Inputs!$E$14*Model!F27)+Model!F35-Model!F22</f>
        <v/>
      </c>
      <c r="C44" s="16">
        <f>Model!I29+(Model!I31+Model!I33)*($A44-Inputs!$E$14*Model!I27)+Model!I35-Model!I22</f>
        <v/>
      </c>
      <c r="D44" s="11">
        <f>C44*12</f>
        <v/>
      </c>
      <c r="E44" s="20">
        <f>(C44+Model!I22)/Model!I22</f>
        <v/>
      </c>
    </row>
    <row r="45">
      <c r="A45" s="69">
        <f>Inputs!$E$13</f>
        <v/>
      </c>
      <c r="B45" s="16">
        <f>Model!F29+(Model!F31+Model!F33)*($A45-Inputs!$E$14*Model!F27)+Model!F35-Model!F22</f>
        <v/>
      </c>
      <c r="C45" s="16">
        <f>Model!I29+(Model!I31+Model!I33)*($A45-Inputs!$E$14*Model!I27)+Model!I35-Model!I22</f>
        <v/>
      </c>
      <c r="D45" s="11">
        <f>C45*12</f>
        <v/>
      </c>
      <c r="E45" s="20">
        <f>(C45+Model!I22)/Model!I22</f>
        <v/>
      </c>
    </row>
    <row r="46">
      <c r="A46" s="68" t="n">
        <v>0.25</v>
      </c>
      <c r="B46" s="16">
        <f>Model!F29+(Model!F31+Model!F33)*($A46-Inputs!$E$14*Model!F27)+Model!F35-Model!F22</f>
        <v/>
      </c>
      <c r="C46" s="16">
        <f>Model!I29+(Model!I31+Model!I33)*($A46-Inputs!$E$14*Model!I27)+Model!I35-Model!I22</f>
        <v/>
      </c>
      <c r="D46" s="11">
        <f>C46*12</f>
        <v/>
      </c>
      <c r="E46" s="20">
        <f>(C46+Model!I22)/Model!I22</f>
        <v/>
      </c>
    </row>
    <row r="48" ht="18" customHeight="1">
      <c r="A48" s="19" t="inlineStr">
        <is>
          <t>C · Baseline provider cost: cost per $1,000 TPV and net benefit at tier 4, base scenario</t>
        </is>
      </c>
    </row>
    <row r="49" ht="18" customHeight="1">
      <c r="A49" s="6" t="inlineStr">
        <is>
          <t>Baseline cost</t>
        </is>
      </c>
      <c r="B49" s="6" t="inlineStr">
        <is>
          <t>Option A $/1,000</t>
        </is>
      </c>
      <c r="C49" s="6" t="inlineStr">
        <is>
          <t>Option B $/1,000 (provider + Yuno)</t>
        </is>
      </c>
      <c r="D49" s="6" t="inlineStr">
        <is>
          <t>Option B $/1,000 after levers</t>
        </is>
      </c>
      <c r="E49" s="6" t="inlineStr">
        <is>
          <t>Net benefit a month</t>
        </is>
      </c>
      <c r="F49" s="6" t="inlineStr">
        <is>
          <t>Net a year</t>
        </is>
      </c>
    </row>
    <row r="50">
      <c r="A50" s="45">
        <f>Inputs!$E$17</f>
        <v/>
      </c>
      <c r="B50" s="13">
        <f>$A50*1000</f>
        <v/>
      </c>
      <c r="C50" s="13">
        <f>(($A50-Inputs!$E$20/10000)+Model!I22/Model!I6)*1000</f>
        <v/>
      </c>
      <c r="D50" s="13">
        <f>((($A50-Inputs!$E$20/10000)+Model!I22/Model!I6)*Model!I6-((Model!I31+Model!I33)*(Inputs!$E$13-Inputs!$E$14*(($A50-Inputs!$E$20/10000)+Model!I22/Model!I6))+Model!I35))/Model!I6*1000</f>
        <v/>
      </c>
      <c r="E50" s="16">
        <f>Model!I29+((Model!I31+Model!I33)*(Inputs!$E$13-Inputs!$E$14*(($A50-Inputs!$E$20/10000)+Model!I22/Model!I6))+Model!I35)-Model!I22</f>
        <v/>
      </c>
      <c r="F50" s="11">
        <f>E50*12</f>
        <v/>
      </c>
    </row>
    <row r="51">
      <c r="A51" s="45">
        <f>Inputs!$E$16</f>
        <v/>
      </c>
      <c r="B51" s="13">
        <f>$A51*1000</f>
        <v/>
      </c>
      <c r="C51" s="13">
        <f>(($A51-Inputs!$E$20/10000)+Model!I22/Model!I6)*1000</f>
        <v/>
      </c>
      <c r="D51" s="13">
        <f>((($A51-Inputs!$E$20/10000)+Model!I22/Model!I6)*Model!I6-((Model!I31+Model!I33)*(Inputs!$E$13-Inputs!$E$14*(($A51-Inputs!$E$20/10000)+Model!I22/Model!I6))+Model!I35))/Model!I6*1000</f>
        <v/>
      </c>
      <c r="E51" s="16">
        <f>Model!I29+((Model!I31+Model!I33)*(Inputs!$E$13-Inputs!$E$14*(($A51-Inputs!$E$20/10000)+Model!I22/Model!I6))+Model!I35)-Model!I22</f>
        <v/>
      </c>
      <c r="F51" s="11">
        <f>E51*12</f>
        <v/>
      </c>
    </row>
    <row r="52">
      <c r="A52" s="45">
        <f>Inputs!$E$18</f>
        <v/>
      </c>
      <c r="B52" s="13">
        <f>$A52*1000</f>
        <v/>
      </c>
      <c r="C52" s="13">
        <f>(($A52-Inputs!$E$20/10000)+Model!I22/Model!I6)*1000</f>
        <v/>
      </c>
      <c r="D52" s="13">
        <f>((($A52-Inputs!$E$20/10000)+Model!I22/Model!I6)*Model!I6-((Model!I31+Model!I33)*(Inputs!$E$13-Inputs!$E$14*(($A52-Inputs!$E$20/10000)+Model!I22/Model!I6))+Model!I35))/Model!I6*1000</f>
        <v/>
      </c>
      <c r="E52" s="16">
        <f>Model!I29+((Model!I31+Model!I33)*(Inputs!$E$13-Inputs!$E$14*(($A52-Inputs!$E$20/10000)+Model!I22/Model!I6))+Model!I35)-Model!I22</f>
        <v/>
      </c>
      <c r="F52" s="11">
        <f>E52*12</f>
        <v/>
      </c>
    </row>
    <row r="54">
      <c r="A54" s="43" t="inlineStr">
        <is>
          <t>L1 (MDR reduction in bps) does not move with the baseline: the saving is the gap between the two routes, not the level. The baseline changes the all-in cost of both options and, through netting, the contribution on incremental GMV.</t>
        </is>
      </c>
    </row>
  </sheetData>
  <mergeCells count="5">
    <mergeCell ref="A1:J1"/>
    <mergeCell ref="A4:J4"/>
    <mergeCell ref="A48:J48"/>
    <mergeCell ref="A2:J2"/>
    <mergeCell ref="A42:J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70" customWidth="1" min="3" max="3"/>
    <col width="70" customWidth="1" min="4" max="4"/>
  </cols>
  <sheetData>
    <row r="1" ht="36" customHeight="1">
      <c r="A1" s="1" t="inlineStr">
        <is>
          <t>Sources · public benchmarks and client inputs (accessed 15 Oct 2026)</t>
        </is>
      </c>
    </row>
    <row r="2" ht="15.75" customHeight="1">
      <c r="A2" s="2" t="inlineStr">
        <is>
          <t>Vendor-published figures are marked as such. Nothing here is a Yuno-negotiated rate for any merchant.</t>
        </is>
      </c>
    </row>
    <row r="3" ht="9.75" customHeight="1"/>
    <row r="4" ht="18" customHeight="1">
      <c r="A4" s="6" t="inlineStr">
        <is>
          <t>#</t>
        </is>
      </c>
      <c r="B4" s="6" t="inlineStr">
        <is>
          <t>Source (publisher, title, date)</t>
        </is>
      </c>
      <c r="C4" s="6" t="inlineStr">
        <is>
          <t>What it supports</t>
        </is>
      </c>
      <c r="D4" s="6" t="inlineStr">
        <is>
          <t>URL</t>
        </is>
      </c>
    </row>
    <row r="5" ht="42" customHeight="1">
      <c r="A5" s="70" t="n">
        <v>1</v>
      </c>
      <c r="B5" s="28" t="inlineStr">
        <is>
          <t>Carry1st, discovery call with Cordel and Fatih, 15 Oct 2026 (German Tatis's summary)</t>
        </is>
      </c>
      <c r="C5" s="28" t="inlineStr">
        <is>
          <t>Average ticket $10, median $5; $4 to 5M a month in LatAm by end 2027 (Cordel's estimate, not aligned internally); Brazil first, then AR, MX, BO, CO; Black Friday 27 Nov 2026.</t>
        </is>
      </c>
      <c r="D5" s="28" t="inlineStr">
        <is>
          <t>internal</t>
        </is>
      </c>
    </row>
    <row r="6" ht="42" customHeight="1">
      <c r="A6" s="70" t="n">
        <v>2</v>
      </c>
      <c r="B6" s="28" t="inlineStr">
        <is>
          <t>Justo Benetti (Yuno CRO) and German Tatis, pricing v4 and business-case brief, 15 Oct 2026</t>
        </is>
      </c>
      <c r="C6" s="28" t="inlineStr">
        <is>
          <t>$7,500 a month flat platform fee including the first $500K of monthly Net TPV; usage in bps on Net TPV above it, ladder 40 / 30 / 20 / 10 bps (steps at $2M, $5M, $10M); levers MDR 25/50/75 bps; numbers tied to a low transaction count.</t>
        </is>
      </c>
      <c r="D6" s="28" t="inlineStr">
        <is>
          <t>internal</t>
        </is>
      </c>
    </row>
    <row r="7" ht="42" customHeight="1">
      <c r="A7" s="70" t="n">
        <v>3</v>
      </c>
      <c r="B7" s="28" t="inlineStr">
        <is>
          <t>FXC Intelligence, 'dLocal earnings Q4 2025', 26 Mar 2026 (on dLocal's results release of 18 Mar 2026)</t>
        </is>
      </c>
      <c r="C7" s="28" t="inlineStr">
        <is>
          <t>dLocal FY2025 TPV about $41B, revenue about $1.1B; revenue / TPV 2.68% in 2025 vs 2.92% in 2024 (blended pay-ins and pay-outs, all merchant sizes). Low anchor of the 3 to 6% MoR range.</t>
        </is>
      </c>
      <c r="D7" s="28" t="inlineStr">
        <is>
          <t>https://www.fxcintel.com/research/reports/ct-dlocal-earnings-q4-2025</t>
        </is>
      </c>
    </row>
    <row r="8" ht="42" customHeight="1">
      <c r="A8" s="70" t="n">
        <v>4</v>
      </c>
      <c r="B8" s="28" t="inlineStr">
        <is>
          <t>dLocal, 'dLocal Reports 2025 Fourth Quarter Financial Results', 18 Mar 2026</t>
        </is>
      </c>
      <c r="C8" s="28" t="inlineStr">
        <is>
          <t>Primary release behind the figures above (Q4 2025 TPV $13.1B; gross profit over TPV 0.88% in Q4 2025).</t>
        </is>
      </c>
      <c r="D8" s="28" t="inlineStr">
        <is>
          <t>https://dlocal.gcs-web.com/news-releases/news-release-details/dlocal-reports-2025-fourth-quarter-financial-results</t>
        </is>
      </c>
    </row>
    <row r="9" ht="42" customHeight="1">
      <c r="A9" s="70" t="n">
        <v>5</v>
      </c>
      <c r="B9" s="28" t="inlineStr">
        <is>
          <t>Capterra, EBANX pricing and reviews (verified review, Nov 2021)</t>
        </is>
      </c>
      <c r="C9" s="28" t="inlineStr">
        <is>
          <t>One merchant reports about 5% per transaction plus a $200 monthly fee; EBANX publishes no rate card. High anchor of the MoR range (vendor review, dated).</t>
        </is>
      </c>
      <c r="D9" s="28" t="inlineStr">
        <is>
          <t>https://www.capterra.com/p/178524/Online-Payments-in-Latin-America/pricing/</t>
        </is>
      </c>
    </row>
    <row r="10" ht="42" customHeight="1">
      <c r="A10" s="70" t="n">
        <v>6</v>
      </c>
      <c r="B10" s="28" t="inlineStr">
        <is>
          <t>Nuvei, 'Strategic considerations for minimizing international payment gateway fees in cross-border commerce', 2026 (vendor)</t>
        </is>
      </c>
      <c r="C10" s="28" t="inlineStr">
        <is>
          <t>FX spread of 1 to 3% added on top of processing; a $0.30 fixed fee is 3% of a $10 ticket.</t>
        </is>
      </c>
      <c r="D10" s="28" t="inlineStr">
        <is>
          <t>https://www.nuvei.com/posts/strategic-considerations-for-minimizing-international-payment-gateway-fees-in-cross-border-commerce</t>
        </is>
      </c>
    </row>
    <row r="11" ht="42" customHeight="1">
      <c r="A11" s="70" t="n">
        <v>7</v>
      </c>
      <c r="B11" s="28" t="inlineStr">
        <is>
          <t>PayPro Global, 'What is IOF Brazil', 2025/2026</t>
        </is>
      </c>
      <c r="C11" s="28" t="inlineStr">
        <is>
          <t>Decree 12,466/2025 (effective 23 May 2025) sets a flat 3.5% IOF on most FX operations; IOF is deducted in the conversion, reducing net USD per transaction.</t>
        </is>
      </c>
      <c r="D11" s="28" t="inlineStr">
        <is>
          <t>https://payproglobal.com/answers/what-is-iof-brazil/</t>
        </is>
      </c>
    </row>
    <row r="12" ht="42" customHeight="1">
      <c r="A12" s="70" t="n">
        <v>8</v>
      </c>
      <c r="B12" s="28" t="inlineStr">
        <is>
          <t>Nuvei, 'Evaluating payment strategies for the Mexican market: direct acquiring versus cross-border models', 2026 (vendor)</t>
        </is>
      </c>
      <c r="C12" s="28" t="inlineStr">
        <is>
          <t>Local acquiring authorization typically 80%+ vs 50 to 60% cross-border in Mexico; 20 to 30% higher with direct local acquiring.</t>
        </is>
      </c>
      <c r="D12" s="28" t="inlineStr">
        <is>
          <t>https://www.nuvei.com/posts/evaluating-payment-strategies-for-the-mexican-market-direct-acquiring-versus-cross-border-models</t>
        </is>
      </c>
    </row>
    <row r="13" ht="42" customHeight="1">
      <c r="A13" s="70" t="n">
        <v>9</v>
      </c>
      <c r="B13" s="28" t="inlineStr">
        <is>
          <t>Rapyd, 'LatAm payments playbook', May 2026 (vendor)</t>
        </is>
      </c>
      <c r="C13" s="28" t="inlineStr">
        <is>
          <t>Approval rates differ by 10 to 20% depending on processing setup; cross-border routing increases declines, especially on domestic debit.</t>
        </is>
      </c>
      <c r="D13" s="28" t="inlineStr">
        <is>
          <t>https://www.rapyd.net/wp-content/uploads/2026/05/latam-payments-playbook.pdf</t>
        </is>
      </c>
    </row>
    <row r="14" ht="42" customHeight="1">
      <c r="A14" s="70" t="n">
        <v>10</v>
      </c>
      <c r="B14" s="28" t="inlineStr">
        <is>
          <t>Antom, Brazil market page, 2025 (vendor)</t>
        </is>
      </c>
      <c r="C14" s="28" t="inlineStr">
        <is>
          <t>Brazil cross-border card authorization under 60% vs 90%+ on local rails such as Pix.</t>
        </is>
      </c>
      <c r="D14" s="28" t="inlineStr">
        <is>
          <t>https://www.antom.com/markets/brazil</t>
        </is>
      </c>
    </row>
    <row r="15" ht="42" customHeight="1">
      <c r="A15" s="70" t="n">
        <v>11</v>
      </c>
      <c r="B15" s="28" t="inlineStr">
        <is>
          <t>Paddle, 'How to prevent soft declines' (vendor)</t>
        </is>
      </c>
      <c r="C15" s="28" t="inlineStr">
        <is>
          <t>Soft declines are 80 to 90% of failed payments; retry timing and extra retries lift recovery.</t>
        </is>
      </c>
      <c r="D15" s="28" t="inlineStr">
        <is>
          <t>https://www.paddle.com/blog/how-to-prevent-soft-declines-fltr</t>
        </is>
      </c>
    </row>
    <row r="16" ht="42" customHeight="1">
      <c r="A16" s="70" t="n">
        <v>12</v>
      </c>
      <c r="B16" s="28" t="inlineStr">
        <is>
          <t>Spark.money glossary, 'Soft decline' (vendor)</t>
        </is>
      </c>
      <c r="C16" s="28" t="inlineStr">
        <is>
          <t>Smart retry and dunning recover 20 to 40% of soft-declined charges.</t>
        </is>
      </c>
      <c r="D16" s="28" t="inlineStr">
        <is>
          <t>https://www.spark.money/glossary/soft-decline</t>
        </is>
      </c>
    </row>
    <row r="17" ht="42" customHeight="1">
      <c r="A17" s="70" t="n">
        <v>13</v>
      </c>
      <c r="B17" s="28" t="inlineStr">
        <is>
          <t>Yuno, published figures (y.uno)</t>
        </is>
      </c>
      <c r="C17" s="28" t="inlineStr">
        <is>
          <t>7% authorization uplift; 30% recovered revenue; 1,000+ payment methods, PSPs and fraud solutions. The 7% is used only as the ceiling for the optimistic approval case.</t>
        </is>
      </c>
      <c r="D17" s="28" t="inlineStr">
        <is>
          <t>https://y.uno</t>
        </is>
      </c>
    </row>
    <row r="18" ht="42" customHeight="1">
      <c r="A18" s="70" t="n">
        <v>14</v>
      </c>
      <c r="B18" s="28" t="inlineStr">
        <is>
          <t>Yuno docs, Payment Type list (docs.y.uno), pulled 14 Oct 2026</t>
        </is>
      </c>
      <c r="C18" s="28" t="inlineStr">
        <is>
          <t>Methods per provider per country as carried through Yuno: dLocal carries MODO, Rapipago, Pago Facil (AR); Bre-B, Nequi, PSE, Efecty (CO); Multipago, Pago al Paso (BO); CoDi, Paynet, 7-Eleven, OXXO, SPEI (MX); PIX, Boleto, NuPay (BR). EBANX connection: Checkout Pro (AR), PagosNet (BO), OXXO Pay, SPEI (MX), PIX, Boleto, PicPay (BR).</t>
        </is>
      </c>
      <c r="D18" s="28" t="inlineStr">
        <is>
          <t>https://docs.y.uno</t>
        </is>
      </c>
    </row>
    <row r="19" ht="42" customHeight="1">
      <c r="A19" s="70" t="n">
        <v>15</v>
      </c>
      <c r="B19" s="28" t="inlineStr">
        <is>
          <t>Poder360 citing Worldpay Global Payments Report 2026</t>
        </is>
      </c>
      <c r="C19" s="28" t="inlineStr">
        <is>
          <t>Pix 42% of Brazil e-commerce transaction value in 2025; cards 40%.</t>
        </is>
      </c>
      <c r="D19" s="28" t="inlineStr">
        <is>
          <t>https://www.poder360.com.br/poder-economia/pix-chega-a-42-dos-pagamentos-on-line-no-brasil/</t>
        </is>
      </c>
    </row>
    <row r="20" ht="42" customHeight="1">
      <c r="A20" s="70" t="n">
        <v>16</v>
      </c>
      <c r="B20" s="28" t="inlineStr">
        <is>
          <t>LetsMoney citing Worldpay Global Payments Report 2026</t>
        </is>
      </c>
      <c r="C20" s="28" t="inlineStr">
        <is>
          <t>Argentina account-to-account 15% and digital wallets 39% of e-commerce value in 2025; Mexico and Peru A2A 6%.</t>
        </is>
      </c>
      <c r="D20" s="28" t="inlineStr">
        <is>
          <t>https://www.letsmoney.com.br/pix/pix-lidera-conta-a-conta-america-latina/</t>
        </is>
      </c>
    </row>
    <row r="21" ht="42" customHeight="1">
      <c r="A21" s="70" t="n">
        <v>17</v>
      </c>
      <c r="B21" s="28" t="inlineStr">
        <is>
          <t>Los Tiempos citing Banco Central de Bolivia, 14 Jun 2026</t>
        </is>
      </c>
      <c r="C21" s="28" t="inlineStr">
        <is>
          <t>QR share of payments in Bolivia 36% in 2025 (15% in 2020); cash down from 85% to 64%.</t>
        </is>
      </c>
      <c r="D21" s="28" t="inlineStr">
        <is>
          <t>https://www.lostiempos.com/actualidad/economia/20260614/banco-central-bolivia-resalta-uso-del-qr-28-veces-segundo-pais</t>
        </is>
      </c>
    </row>
    <row r="22" ht="42" customHeight="1">
      <c r="A22" s="70" t="n">
        <v>18</v>
      </c>
      <c r="B22" s="28" t="inlineStr">
        <is>
          <t>spd.tech, 'Fintech payment integration timeline', 2026 (vendor)</t>
        </is>
      </c>
      <c r="C22" s="28" t="inlineStr">
        <is>
          <t>Hosted checkout 1 to 3 days; server-to-server integration 4 to 8 weeks; orchestration or direct acquiring 8 to 12+ weeks; approvals and credentials often take longer than the code.</t>
        </is>
      </c>
      <c r="D22" s="28" t="inlineStr">
        <is>
          <t>https://spd.tech/fintech-development/fintech-payment-integration-timeline/</t>
        </is>
      </c>
    </row>
    <row r="23" ht="42" customHeight="1">
      <c r="A23" s="70" t="n">
        <v>19</v>
      </c>
      <c r="B23" s="28" t="inlineStr">
        <is>
          <t>Razorpay engineering on dev.to, 'Gateway integration agent', 2025</t>
        </is>
      </c>
      <c r="C23" s="28" t="inlineStr">
        <is>
          <t>Each new gateway took 2 to 3 weeks of developer time before automation.</t>
        </is>
      </c>
      <c r="D23" s="28" t="inlineStr">
        <is>
          <t>https://dev.to/razorpaytech/gateway-integration-agent-how-we-cut-payment-gateway-integration-time-from-weeks-to-days-4cfk</t>
        </is>
      </c>
    </row>
    <row r="24" ht="42" customHeight="1">
      <c r="A24" s="70" t="n">
        <v>20</v>
      </c>
      <c r="B24" s="28" t="inlineStr">
        <is>
          <t>mctaba.com, 'Total cost of ownership: gateway fees vs engineering time'</t>
        </is>
      </c>
      <c r="C24" s="28" t="inlineStr">
        <is>
          <t>Migrating to a new gateway takes 2 to 4 weeks of engineering plus token migration and webhook rewrites.</t>
        </is>
      </c>
      <c r="D24" s="28" t="inlineStr">
        <is>
          <t>https://mctaba.com/learn/paystack/total-cost-of-ownership-gateway-fees-vs-engineering-time</t>
        </is>
      </c>
    </row>
    <row r="25" ht="42" customHeight="1">
      <c r="A25" s="70" t="n">
        <v>21</v>
      </c>
      <c r="B25" s="28" t="inlineStr">
        <is>
          <t>Revelo, 'Senior engineer cost benchmarks: US vs abroad', 2026 (vendor)</t>
        </is>
      </c>
      <c r="C25" s="28" t="inlineStr">
        <is>
          <t>US fully loaded senior engineer $200K to $280K a year; LatAm seniors working for US companies $45K to $95K.</t>
        </is>
      </c>
      <c r="D25" s="28" t="inlineStr">
        <is>
          <t>https://www.revelo.com/blog/senior-engineer-cost-benchmarks-us-vs-abroad</t>
        </is>
      </c>
    </row>
    <row r="26" ht="42" customHeight="1">
      <c r="A26" s="70" t="n">
        <v>22</v>
      </c>
      <c r="B26" s="28" t="inlineStr">
        <is>
          <t>Second Talent, 'LATAM vs CEE vs APAC for hiring AI engineers', 2026 (vendor)</t>
        </is>
      </c>
      <c r="C26" s="28" t="inlineStr">
        <is>
          <t>LatAm loaded cost about $87.5K a year; Brazil $100.8K; Mexico $87.8K (statutory costs in).</t>
        </is>
      </c>
      <c r="D26" s="28" t="inlineStr">
        <is>
          <t>https://www.secondtalent.com/latam-vs-cee-vs-apac-ai-talent/</t>
        </is>
      </c>
    </row>
    <row r="27" ht="42" customHeight="1">
      <c r="A27" s="70" t="n">
        <v>23</v>
      </c>
      <c r="B27" s="28" t="inlineStr">
        <is>
          <t>PayScale, 'Senior Software Engineer salary, Cape Town', 2026</t>
        </is>
      </c>
      <c r="C27" s="28" t="inlineStr">
        <is>
          <t>Market pay reference for Carry1st's Cape Town engineering base (below the LatAm loaded figures once converted).</t>
        </is>
      </c>
      <c r="D27" s="28" t="inlineStr">
        <is>
          <t>https://www.payscale.com/research/ZA/Job=Senior_Software_Engineer/Salary/2eb077be/Cape-Town</t>
        </is>
      </c>
    </row>
    <row r="28" ht="42" customHeight="1">
      <c r="A28" s="70" t="n">
        <v>24</v>
      </c>
      <c r="B28" s="28" t="inlineStr">
        <is>
          <t>marix.app guides, gift-card reselling margins, 2026 (vendor)</t>
        </is>
      </c>
      <c r="C28" s="28" t="inlineStr">
        <is>
          <t>Mainstream gift cards resell at 5 to 15% above wholesale; Google Play cards 3 to 8% workable range. Context for the 15% take-rate ESTIMATE.</t>
        </is>
      </c>
      <c r="D28" s="28" t="inlineStr">
        <is>
          <t>https://marix.app/library/guides/google-play-pricing-strategy</t>
        </is>
      </c>
    </row>
    <row r="29" ht="42" customHeight="1">
      <c r="A29" s="70" t="n">
        <v>25</v>
      </c>
      <c r="B29" s="28" t="inlineStr">
        <is>
          <t>Yuno value model (internal reference, yuno-sales-deck skill)</t>
        </is>
      </c>
      <c r="C29" s="28" t="inlineStr">
        <is>
          <t>Multi-acquirer leverage 7.5 to 12.5 bps mid-market; cross-border to local reclassification about 60 bps; 20 to 30% maintenance convention.</t>
        </is>
      </c>
      <c r="D29" s="28" t="inlineStr">
        <is>
          <t>internal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2026-10-15T23:55:31Z</dcterms:created>
  <dcterms:modified xmlns:dcterms="http://purl.org/dc/terms/" xmlns:xsi="http://www.w3.org/2001/XMLSchema-instance" xsi:type="dcterms:W3CDTF">2026-10-15T23:55:31Z</dcterms:modified>
</cp:coreProperties>
</file>