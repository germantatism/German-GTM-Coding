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" sheetId="1" r:id="rId5"/>
    <sheet state="visible" name="Aceptance Rate Delta per Indust" sheetId="2" r:id="rId6"/>
    <sheet state="visible" name="APMs" sheetId="3" r:id="rId7"/>
    <sheet state="visible" name="RESUMEN" sheetId="4" r:id="rId8"/>
    <sheet state="visible" name="BC Pay-ins LatAm" sheetId="5" r:id="rId9"/>
    <sheet state="visible" name="BC Devs.Eng. Integrations Savin" sheetId="6" r:id="rId10"/>
    <sheet state="visible" name=" BC Pay-ins NA" sheetId="7" r:id="rId11"/>
    <sheet state="visible" name="Sheet5" sheetId="8" r:id="rId12"/>
    <sheet state="visible" name="BC Pay-ins EMEA" sheetId="9" r:id="rId13"/>
    <sheet state="visible" name="Sheet6" sheetId="10" r:id="rId14"/>
    <sheet state="visible" name="BC Pay-ins APAC" sheetId="11" r:id="rId15"/>
    <sheet state="visible" name="Sheet7" sheetId="12" r:id="rId16"/>
    <sheet state="hidden" name="Copy of BC Pay-ins " sheetId="13" r:id="rId17"/>
  </sheets>
  <definedNames/>
  <calcPr/>
</workbook>
</file>

<file path=xl/sharedStrings.xml><?xml version="1.0" encoding="utf-8"?>
<sst xmlns="http://schemas.openxmlformats.org/spreadsheetml/2006/main" count="1310" uniqueCount="449">
  <si>
    <t>Business Case Template - Outreach</t>
  </si>
  <si>
    <t>Instructions</t>
  </si>
  <si>
    <t>Leyenda</t>
  </si>
  <si>
    <r>
      <rPr>
        <rFont val="Arial"/>
        <color theme="1"/>
      </rPr>
      <t xml:space="preserve">
1. Remember is a template, </t>
    </r>
    <r>
      <rPr>
        <rFont val="Arial"/>
        <b/>
        <color theme="1"/>
      </rPr>
      <t>please make a copy of the document.</t>
    </r>
    <r>
      <rPr>
        <rFont val="Arial"/>
        <color theme="1"/>
      </rPr>
      <t xml:space="preserve">
2. This is a tool for the Sales Team (mainly SDR team) to create a </t>
    </r>
    <r>
      <rPr>
        <rFont val="Arial"/>
        <i/>
        <color theme="1"/>
      </rPr>
      <t xml:space="preserve">a priori </t>
    </r>
    <r>
      <rPr>
        <rFont val="Arial"/>
        <color theme="1"/>
      </rPr>
      <t xml:space="preserve">business case for incluencing the prospect to have a conversation with us. 
3. The main objective of this document is for us to demostrate that we can:
              a. </t>
    </r>
    <r>
      <rPr>
        <rFont val="Arial"/>
        <b/>
        <color theme="1"/>
      </rPr>
      <t>Boost Revenue</t>
    </r>
    <r>
      <rPr>
        <rFont val="Arial"/>
        <color theme="1"/>
      </rPr>
      <t xml:space="preserve"> (higher acceptance rates, new APMs at checkout, local processing with MoR/local processors, less fraud)
              b.</t>
    </r>
    <r>
      <rPr>
        <rFont val="Arial"/>
        <b/>
        <color theme="1"/>
      </rPr>
      <t xml:space="preserve"> Reduce Costs</t>
    </r>
    <r>
      <rPr>
        <rFont val="Arial"/>
        <color theme="1"/>
      </rPr>
      <t xml:space="preserve"> (Lower MDR due to localized processing, lower MDR due to higher bargaining power with PSPs, Lower integration efforts/costs/team hours)
4. This document </t>
    </r>
    <r>
      <rPr>
        <rFont val="Arial"/>
        <b/>
        <color theme="1"/>
      </rPr>
      <t>Should not be shared with merchants,</t>
    </r>
    <r>
      <rPr>
        <rFont val="Arial"/>
        <color theme="1"/>
      </rPr>
      <t xml:space="preserve"> but rather share the Google Slide doc, where all info is centralized and summarized - Business Case Template - COMPANY &amp; Yuno
</t>
    </r>
  </si>
  <si>
    <t>Market/Region</t>
  </si>
  <si>
    <t>Color</t>
  </si>
  <si>
    <t>LATAM</t>
  </si>
  <si>
    <t>North America (NA)</t>
  </si>
  <si>
    <t>EMEA/EU</t>
  </si>
  <si>
    <t>APAC</t>
  </si>
  <si>
    <t>Business Case - Payins Tab</t>
  </si>
  <si>
    <r>
      <rPr>
        <rFont val="Arial"/>
        <b/>
        <color theme="1"/>
      </rPr>
      <t>Business Case - Payins</t>
    </r>
    <r>
      <rPr>
        <rFont val="Arial"/>
        <color theme="1"/>
      </rPr>
      <t xml:space="preserve">
1. As you need to perform a business case to compare the value of Yuno you can obtain a basic BC in the sheet "BC Pay-ins Tab". In this tab you'll need to:
      a. Create a per company&amp;market. (Eg. if this document is for AIRBNB, We'll need to have a "BC Pay-Ins LATAM", "BC Pay-ins APAC"..."BC Pay-ins N").
2. Inputs that you need to place: 
      a. From other documents:
              i. Annual Revenue (brought from Worldwide Focus Accounts or external source)
      b. From SimilarWeb / Bloomberg / etc. 
              i. Annual Total Visits
              ii. Web Traffic (Share of Wallet - SoW)
      c. From SDR research
              i. Average Ticket Value (ATV)
              ii. Share of Wallet (SoW) Cards - This is based on Company/Market Checkout
              iii. Share of Wallet (SoW) APMs - This is based on Company/Market Checkout
              iv. Local Entities per market
              v. Current APMs - This is based on Company/Market Checkout
              vi. APMs to Integrate - This is based on Company/Market Checkout
              vii. (%) Incremental Transactions - This is based on Company/Market Checkout, SoW Cards and SoW APMs
              viii. (%) TPV from Cards to APMs - This is based on Company/Market Checkout, SoW Cards and SoW APMs
              viii. APMs MDR Cost - This is linked to MDR costs research per country
</t>
    </r>
  </si>
  <si>
    <t>Apects</t>
  </si>
  <si>
    <t>Inputs SDR</t>
  </si>
  <si>
    <t>Blue and Yellow</t>
  </si>
  <si>
    <t>Similar Web / Research / Bloomberg</t>
  </si>
  <si>
    <t>Red</t>
  </si>
  <si>
    <t>Value brought from other tabs.</t>
  </si>
  <si>
    <t>Green</t>
  </si>
  <si>
    <t>Add to Business Case Template - COMPANY &amp; Yuno</t>
  </si>
  <si>
    <t>*</t>
  </si>
  <si>
    <t>BC Devs./Engineering Integrations Savings Tab</t>
  </si>
  <si>
    <t xml:space="preserve">1. In the tab "BC Developments/Engineering Integrations Savings" you'll find further information about possible savings on developments based on prior BC Pay-ins inputs:
a. Create a per company&amp;market. (Eg. if this document is for AIRBNB, We'll need to have a "BC Devs./Engineering Integrations Savings LatAm", "BC Devs./Engineering Integrations Savings APAC"..."BC Devs./Engineering Integrations Savin N")
2. Inputs that you need to place: 
      a. From other tabs/documents:
              i. Current APMs - "BC Pay-ins" tab
              ii. APMs to Integrate -  "BC Pay-ins" tab
              iii. Local entity? -  "BC Pay-ins" tab
</t>
  </si>
  <si>
    <r>
      <rPr>
        <rFont val="Arial"/>
        <b/>
        <color rgb="FFFFFFFF"/>
      </rPr>
      <t xml:space="preserve">Δ acceptance rate
</t>
    </r>
    <r>
      <rPr>
        <rFont val="Arial"/>
        <b/>
        <color rgb="FFFFFFFF"/>
        <sz val="8.0"/>
      </rPr>
      <t>(%)</t>
    </r>
  </si>
  <si>
    <r>
      <rPr>
        <rFont val="Arial"/>
        <b/>
        <color rgb="FFFFFFFF"/>
      </rPr>
      <t xml:space="preserve">MDR 
</t>
    </r>
    <r>
      <rPr>
        <rFont val="Arial"/>
        <b/>
        <color rgb="FFFFFFFF"/>
        <sz val="8.0"/>
      </rPr>
      <t>(%) Local/CB per Industry</t>
    </r>
  </si>
  <si>
    <r>
      <rPr>
        <rFont val="Arial"/>
        <b/>
        <color rgb="FFFFFFFF"/>
      </rPr>
      <t xml:space="preserve">Take Rate
</t>
    </r>
    <r>
      <rPr>
        <rFont val="Arial"/>
        <b/>
        <color rgb="FFFFFFFF"/>
        <sz val="8.0"/>
      </rPr>
      <t xml:space="preserve"> (%) per Industry</t>
    </r>
  </si>
  <si>
    <t>Conversions</t>
  </si>
  <si>
    <t>Estimated monthly cost for each integration per team per region</t>
  </si>
  <si>
    <t>Industry</t>
  </si>
  <si>
    <t>AVG GM%</t>
  </si>
  <si>
    <t>Lower Range</t>
  </si>
  <si>
    <t>Higher Range</t>
  </si>
  <si>
    <t>Local MDR</t>
  </si>
  <si>
    <t>Cross-Border MDR</t>
  </si>
  <si>
    <t>VtC (%)</t>
  </si>
  <si>
    <t>CtS (%)</t>
  </si>
  <si>
    <t>Team</t>
  </si>
  <si>
    <t>BRAZIL</t>
  </si>
  <si>
    <t>US</t>
  </si>
  <si>
    <t>EMEA</t>
  </si>
  <si>
    <t>Neobanks</t>
  </si>
  <si>
    <t>Product</t>
  </si>
  <si>
    <t>Remittance</t>
  </si>
  <si>
    <t>Engineering</t>
  </si>
  <si>
    <t>Social/Advertising</t>
  </si>
  <si>
    <t>Fraud/Risk</t>
  </si>
  <si>
    <t>Streaming</t>
  </si>
  <si>
    <t>Treasury</t>
  </si>
  <si>
    <t>SuperApps/Delivery Apps</t>
  </si>
  <si>
    <t>Compliance</t>
  </si>
  <si>
    <t>Cinema</t>
  </si>
  <si>
    <t>Finance</t>
  </si>
  <si>
    <t>Ticketing</t>
  </si>
  <si>
    <t>Banking &amp; Payments</t>
  </si>
  <si>
    <t>Payroll</t>
  </si>
  <si>
    <t>PSP</t>
  </si>
  <si>
    <t>Telecom</t>
  </si>
  <si>
    <t>Adult Content</t>
  </si>
  <si>
    <t>Crypto</t>
  </si>
  <si>
    <t>Dating</t>
  </si>
  <si>
    <t>Gambling/Sports Betting</t>
  </si>
  <si>
    <t>Gaming</t>
  </si>
  <si>
    <t>Investing</t>
  </si>
  <si>
    <t>Airlines</t>
  </si>
  <si>
    <t>Train/bus/cruise Tickets</t>
  </si>
  <si>
    <t>Car Rental</t>
  </si>
  <si>
    <t>Hospitality/Hotels</t>
  </si>
  <si>
    <t>Ridesharing/Mobility</t>
  </si>
  <si>
    <t>Travel/OTAs</t>
  </si>
  <si>
    <t>Cosmetics</t>
  </si>
  <si>
    <t>Direct Selling</t>
  </si>
  <si>
    <t>Food and drinks</t>
  </si>
  <si>
    <t>Luxury goods/Apparel</t>
  </si>
  <si>
    <t>Marketplace</t>
  </si>
  <si>
    <t>Retail (Pets, Electronics...)</t>
  </si>
  <si>
    <t>AI</t>
  </si>
  <si>
    <t>Digital Goods</t>
  </si>
  <si>
    <t>Hosting</t>
  </si>
  <si>
    <t>Saas</t>
  </si>
  <si>
    <t>Cybersecurity</t>
  </si>
  <si>
    <t>e-learning</t>
  </si>
  <si>
    <t>Fitness</t>
  </si>
  <si>
    <t>Healthcare</t>
  </si>
  <si>
    <t>Insurance</t>
  </si>
  <si>
    <t>Region</t>
  </si>
  <si>
    <t>Country</t>
  </si>
  <si>
    <t>APMs &amp; Approx. Share</t>
  </si>
  <si>
    <t>Key Notes</t>
  </si>
  <si>
    <t>Latin America</t>
  </si>
  <si>
    <t>🇧🇷 Brazil</t>
  </si>
  <si>
    <t>Visa/Mastercard/Elo (credit) ~44% | Pix ~40% | Boleto Bancário ~5% | Debit Cards ~4% | Mercado Pago, PicPay ~4% | BNPL ~2%</t>
  </si>
  <si>
    <t>Pix projected #1 by 2027. Elo is local scheme. Parcelamento (installments) deeply embedded.</t>
  </si>
  <si>
    <t>🇲🇽 Mexico</t>
  </si>
  <si>
    <t>Visa/Mastercard (credit) ~35% | Debit Cards ~18% | Mercado Pago, Spin by OXXO, Rappi Pay ~15% | OXXO Pay ~12% | SPEI ~10% | Cash on Delivery ~5% | CoDi/DiMo ~3% | Kueski Pay, Aplazo ~2%</t>
  </si>
  <si>
    <t>OXXO Pay critical for unbanked. MSI installments standard. CoDi/DiMo slow vs Pix.</t>
  </si>
  <si>
    <t>🇦🇷 Argentina</t>
  </si>
  <si>
    <t>Visa/Mastercard (credit) ~32% | Mercado Pago, Ualá, MODO ~25% | Debit Cards ~18% | Transferencias 3.0 / QR ~12% | Rapipago, Pago Fácil ~5% | Cash ~5% | BNPL ~3%</t>
  </si>
  <si>
    <t>Cuotas (installments) essential due to inflation. MODO enables QR interoperability.</t>
  </si>
  <si>
    <t>🇨🇴 Colombia</t>
  </si>
  <si>
    <t>Visa/Mastercard (credit) ~30% | PSE ~28% | Nequi, Daviplata ~15% | Debit Cards ~12% | Efecty, Baloto ~8% | Cash ~5% | Addi, Sistecrédito ~2%</t>
  </si>
  <si>
    <t>PSE growing fast, could match cards by 2026. Nequi (Bancolombia) dominant.</t>
  </si>
  <si>
    <t>🇵🇪 Peru</t>
  </si>
  <si>
    <t>Yape, Plin ~35% | Visa/Mastercard (credit) ~18% | PagoEfectivo, SafetyPay ~12% | Debit Cards ~12% | Bank Transfer ~10% | Cash ~8% | BNPL ~2%</t>
  </si>
  <si>
    <t>Yape (BCP) is #1. Central bank mandated Yape/Plin interoperability.</t>
  </si>
  <si>
    <t>🇵🇾 Paraguay</t>
  </si>
  <si>
    <t>Cash ~35% | Visa/Mastercard (credit) ~20% | Debit Cards ~15% | Tigo Money, Personal Pay ~15% | SIPAP ~10% | Aquí Pago ~5%</t>
  </si>
  <si>
    <t>Low banking penetration. Telco-led mobile money dominates.</t>
  </si>
  <si>
    <t>🇺🇾 Uruguay</t>
  </si>
  <si>
    <t>Debit Cards ~30% | Visa/Mastercard/OCA (credit) ~25% | Bank Transfer ~15% | Prex, Midinero ~12% | Cash ~10% | Abitab, RedPagos ~5% | BNPL ~3%</t>
  </si>
  <si>
    <t>OCA is dominant local card. Govt pushed debit via VAT discounts.</t>
  </si>
  <si>
    <t>North America</t>
  </si>
  <si>
    <t>🇺🇸 USA</t>
  </si>
  <si>
    <t>Visa/Mastercard/Amex/Discover (credit) ~32% | PayPal ~15% | Apple Pay, Google Pay ~12% | Debit Cards ~20% | Affirm, Klarna, Afterpay ~5% | ACH ~5% | Venmo, Cash App ~4% | Amazon Pay ~3%</t>
  </si>
  <si>
    <t>PayPal ~15% of e-com. Apple Pay fastest growing. Rewards culture drives credit.</t>
  </si>
  <si>
    <t>🇨🇦 Canada</t>
  </si>
  <si>
    <t>Visa/Mastercard/Amex (credit) ~35% | PayPal ~12% | Apple Pay, Google Pay ~10% | Interac (debit) ~20% | Interac e-Transfer ~8% | Klarna, PayBright ~5% | Bank Transfer ~5% | Amazon Pay ~3%</t>
  </si>
  <si>
    <t>Interac dominant local debit + e-Transfer for A2A.</t>
  </si>
  <si>
    <t>Europe</t>
  </si>
  <si>
    <t>🇵🇹 Portugal</t>
  </si>
  <si>
    <t>MB Way, Multibanco ~40% | Visa/Mastercard (credit) ~25% | Debit Cards ~12% | PayPal ~10% | SEPA Transfer ~5% | Apple Pay, Google Pay ~4% | Klarna ~2%</t>
  </si>
  <si>
    <t>MB Way is national standard. Very high local payment adoption.</t>
  </si>
  <si>
    <t>🇪🇸 Spain</t>
  </si>
  <si>
    <t>Visa/Mastercard ~35% | Bizum ~15% | PayPal ~15% | Apple Pay, Google Pay ~8% | SEPA Transfer ~7% | Klarna, Sequra ~5% | Cash (Contrareembolso) ~3% | Wero ~2%</t>
  </si>
  <si>
    <t>Bizum: 20M+ users, launching NFC POS 2025. Sequra is local BNPL leader.</t>
  </si>
  <si>
    <t>🇫🇷 France</t>
  </si>
  <si>
    <t>Carte Bancaire (CB) ~35% | Visa/Mastercard ~18% | PayPal ~12% | Apple Pay, Google Pay ~8% | Paylib → Wero ~6% | SEPA Transfer ~5% | Alma, Floa, Klarna ~5%</t>
  </si>
  <si>
    <t>Carte Bancaire is national scheme. Alma is local BNPL leader. Paylib migrating to Wero.</t>
  </si>
  <si>
    <t>🇩🇪 Germany</t>
  </si>
  <si>
    <t>PayPal ~28% | Kauf auf Rechnung (invoice) ~18% | Visa/Mastercard/Girocard ~15% | SEPA Lastschrift ~12% | Sofort (Klarna) ~8% | Klarna BNPL ~5% | Giropay ~4% | Apple Pay, Google Pay ~4% | Amazon Pay ~4% | Wero ~2%</t>
  </si>
  <si>
    <t>PayPal #1 — unique in Europe. Invoice deeply cultural. 82% abandon without preferred method.</t>
  </si>
  <si>
    <t>🇬🇧 United Kingdom</t>
  </si>
  <si>
    <t>Visa/Mastercard (debit) ~38% | Visa/Mastercard (credit) ~20% | PayPal ~15% | Apple Pay, Google Pay ~10% | Open Banking ~5% | Klarna, Clearpay ~5% | BACS Direct Debit ~4% | Amazon Pay ~3%</t>
  </si>
  <si>
    <t>57% use mobile wallets. 25% used BNPL in 2024. Open Banking: 31M payments March 2025.</t>
  </si>
  <si>
    <t>🇳🇱 Netherlands</t>
  </si>
  <si>
    <t>iDEAL ~70% | Visa/Mastercard ~10% | PayPal ~5% | Klarna, Riverty ~5% | Bancontact ~3% | Apple Pay, Google Pay ~3% | SEPA Direct Debit ~2% | Wero / iDEAL 2.0 ~2%</t>
  </si>
  <si>
    <t>iDEAL: 1.3B txns/year, €100B+ volume. Migrating into Wero.</t>
  </si>
  <si>
    <t>🇧🇪 Belgium</t>
  </si>
  <si>
    <t>Bancontact ~55% | Visa/Mastercard ~15% | PayPal ~10% | Payconiq → Wero ~5% | SEPA Transfer ~5% | Apple Pay, Google Pay ~4% | iDEAL ~3% | Klarna ~3%</t>
  </si>
  <si>
    <t>Bancontact dominant. Payconiq transitioning to Wero.</t>
  </si>
  <si>
    <t>🇨🇭 Switzerland</t>
  </si>
  <si>
    <t>Visa/Mastercard (credit) ~30% | TWINT ~25% | Debit Cards ~12% | PayPal ~10% | Rechnung (invoice) ~10% | Apple Pay, Google Pay ~5% | SEPA Transfer ~3% | Klarna ~3% | PostFinance ~2%</t>
  </si>
  <si>
    <t>TWINT is national mobile app. Invoice culture like Germany.</t>
  </si>
  <si>
    <t>🇸🇪 Sweden</t>
  </si>
  <si>
    <t>Swish ~30% | Visa/Mastercard ~25% | Klarna ~20% | PayPal ~8% | Apple Pay, Google Pay ~7% | Autogiro ~5% | Bank Transfer ~3% | Trustly ~2%</t>
  </si>
  <si>
    <t>Swish: 8.5M users (85% pop). Klarna born here. Trustly pioneered open banking.</t>
  </si>
  <si>
    <t>🇮🇹 Italy</t>
  </si>
  <si>
    <t>Visa/Mastercard/PostePay ~35% | PayPal ~20% | Apple Pay, Satispay ~10% | MyBank ~10% | Cash (Contrassegno) ~8% | Scalapay, Klarna ~5% | SEPA Direct Debit ~5% | Bancomat Pay ~4% | Wero ~1%</t>
  </si>
  <si>
    <t>PostePay (prepaid) very popular. Satispay is local mobile payment.</t>
  </si>
  <si>
    <t>🇷🇺 Russia</t>
  </si>
  <si>
    <t>Mir ~40% | SBP ~25% | YooMoney, QIWI ~15% | SberPay ~10% | Bank Transfer ~5% | Cash ~3% | Tinkoff Pay ~2%</t>
  </si>
  <si>
    <t>Mir replaced Visa/MC post-sanctions. SBP is central bank instant. Isolated ecosystem.</t>
  </si>
  <si>
    <t>🇺🇦 Ukraine</t>
  </si>
  <si>
    <t>Visa/Mastercard ~45% | Privat24, Monobank ~20% | Apple Pay, Google Pay ~12% | Cash ~10% | Bank Transfer ~8% | SEP (instant) ~3% | BNPL ~2%</t>
  </si>
  <si>
    <t>Privat24 dominant. Monobank growing fast. War accelerated digital adoption.</t>
  </si>
  <si>
    <t>🇵🇱 Poland</t>
  </si>
  <si>
    <t>BLIK ~55% | Visa/Mastercard ~18% | PayPal ~8% | Przelewy24, PayU ~7% | Apple Pay, Google Pay ~5% | PayPo, Klarna ~4% | Cash ~3%</t>
  </si>
  <si>
    <t>BLIK national standard: 17M+ users. Most digital market in CEE.</t>
  </si>
  <si>
    <t>🇨🇿 Czech Republic</t>
  </si>
  <si>
    <t>Bank Transfer ~35% | Visa/Mastercard ~30% | Cash (Dobírka) ~12% | Apple Pay, Google Pay ~8% | PayPal ~5% | GoPay ~4% | Twisto, Skip Pay ~4% | Wero ~2%</t>
  </si>
  <si>
    <t>Strong bank transfer culture. Dobírka (COD) still popular.</t>
  </si>
  <si>
    <t>🇧🇬 Bulgaria</t>
  </si>
  <si>
    <t>Cash on Delivery ~40% | Visa/Mastercard ~30% | Bank Transfer ~10% | ePay.bg ~8% | PayPal ~5% | Apple Pay, Google Pay ~4% | EasyPay ~3%</t>
  </si>
  <si>
    <t>Cash dominant. ePay.bg is local platform. Lowest digital penetration in EU.</t>
  </si>
  <si>
    <t>🇹🇷 Turkey</t>
  </si>
  <si>
    <t>Visa/Mastercard/Troy (credit) ~45% | Debit Cards ~15% | Papara, Tosla, Param ~15% | Bank Transfer (EFT) ~10% | BKM Express ~5% | Cash ~5% | BNPL ~3% | FAST ~2%</t>
  </si>
  <si>
    <t>Troy is local scheme. Taksit (installments) critical. Papara leading fintech.</t>
  </si>
  <si>
    <t>🇬🇷 Greece</t>
  </si>
  <si>
    <t>Visa/Mastercard ~40% | Cash ~25% | Bank Transfer ~10% | Apple Pay, Google Pay ~8% | PayPal ~7% | IRIS ~5% | Viva Wallet ~3% | BNPL ~2%</t>
  </si>
  <si>
    <t>2015 capital controls pushed card adoption. IRIS is Greek instant payment.</t>
  </si>
  <si>
    <t>🇭🇷 Croatia</t>
  </si>
  <si>
    <t>Visa/Mastercard ~40% | Cash (Pouzeće) ~25% | Bank Transfer ~12% | Apple Pay, Google Pay ~8% | PayPal ~5% | KEKS Pay ~5% | BNPL ~3% | Corvus Pay ~2%</t>
  </si>
  <si>
    <t>Euro adopted 2023. KEKS Pay local mobile payment (Erste Bank).</t>
  </si>
  <si>
    <t>🇳🇴 Norway</t>
  </si>
  <si>
    <t>Vipps ~35% | Visa/Mastercard/BankAxept ~30% | Klarna ~12% | Apple Pay, Google Pay ~8% | PayPal ~5% | Bank Transfer ~5% | Trustly ~3% | Amazon Pay ~2%</t>
  </si>
  <si>
    <t>Vipps: 4.3M users (80% pop). BankAxept local debit. Near-cashless.</t>
  </si>
  <si>
    <t>🇮🇪 Ireland</t>
  </si>
  <si>
    <t>Visa/Mastercard (Debit) ~45% | Credit Cards ~15% | PayPal ~12% | Apple Pay, Google Pay ~10% | Revolut ~8% | Bank Transfer (SEPA) ~5% | BNPL (Klarna) ~3% | Cash ~2%</t>
  </si>
  <si>
    <t>Visa-dominant market (80%+ card share). Revolut has 3M+ users (60% of pop). Contactless 87% of POS. Cash dropped from 38% (2019) to ~15% at POS. Strong SEPA/open banking growth.</t>
  </si>
  <si>
    <t>Middle East</t>
  </si>
  <si>
    <t>🇶🇦 Qatar</t>
  </si>
  <si>
    <t>Visa/Mastercard ~40% | Apple Pay, Samsung Pay ~20% | Cash ~15% | NAPS ~10% | Tabby, Tamara ~5% | Bank Transfer ~5% | QR Payments ~3% | PayPal ~2%</t>
  </si>
  <si>
    <t>High card penetration in GCC. NAPS is national payment system.</t>
  </si>
  <si>
    <t>🇦🇪 UAE</t>
  </si>
  <si>
    <t>Visa/Mastercard/Amex (credit) ~35% | Apple Pay, Samsung Pay, Google Pay ~25% | Debit Cards ~12% | Cash ~10% | Tabby, Tamara, Postpay ~8% | Bank Transfer ~5% | Careem Pay ~3% | PayPal ~2%</t>
  </si>
  <si>
    <t>Wallets projected 42% by 2027. Tabby &amp; Tamara: 10M users each.</t>
  </si>
  <si>
    <t>🇸🇦 Saudi Arabia</t>
  </si>
  <si>
    <t>MADA ~35% | Apple Pay, STC Pay ~22% | Visa/Mastercard (credit) ~15% | Cash ~10% | Tabby, Tamara, Madfu ~8% | SADAD ~5% | SARIE ~3% | Samsung Pay, Google Pay ~2%</t>
  </si>
  <si>
    <t>MADA: 93% domestic card share. Vision 2030 targets 70% cashless.</t>
  </si>
  <si>
    <t>🇵🇰 Pakistan</t>
  </si>
  <si>
    <t>Cash ~40% | JazzCash, Easypaisa ~25% | RAAST ~12% | Debit Cards ~10% | Visa/Mastercard (credit) ~5% | NayaPay, SadaPay ~5% | Agent Banking ~3%</t>
  </si>
  <si>
    <t>JazzCash &amp; Easypaisa: 40M+ users. RAAST instant growing rapidly.</t>
  </si>
  <si>
    <t>🇧🇭 Bahrain</t>
  </si>
  <si>
    <t>Visa/Mastercard ~35% | BenefitPay, Fawri+ ~25% | Apple Pay ~15% | Cash ~10% | Tabby, Tamara ~5% | Bank Transfer ~5% | SADAD ~5%</t>
  </si>
  <si>
    <t>World leader in RTP consumer adoption. 60% electronic via Fawri+.</t>
  </si>
  <si>
    <t>🇰🇼 Kuwait</t>
  </si>
  <si>
    <t>Visa/Mastercard/KNET ~45% | Apple Pay, Samsung Pay ~20% | Cash ~15% | Bank Transfer ~8% | Tabby, Tamara ~7% | KNET Pay ~5%</t>
  </si>
  <si>
    <t>KNET dominant local network.</t>
  </si>
  <si>
    <t>🇴🇲 Oman</t>
  </si>
  <si>
    <t>Visa/Mastercard ~35% | Cash ~25% | Apple Pay ~12% | OmanNet ~10% | Thawani ~8% | Tabby ~5% | Islamic Banking ~5%</t>
  </si>
  <si>
    <t>Thawani is local platform. Sharia-compliant options important.</t>
  </si>
  <si>
    <t>🇯🇴 Jordan</t>
  </si>
  <si>
    <t>Cash ~30% | Visa/Mastercard ~30% | eFAWATEERcom ~12% | Zain Cash, Orange Money ~10% | CliQ ~8% | PayPal ~5% | Apple Pay ~3% | BNPL ~2%</t>
  </si>
  <si>
    <t>eFAWATEERcom national bill payment. CliQ is central bank instant.</t>
  </si>
  <si>
    <t>🇮🇱 Israel</t>
  </si>
  <si>
    <t>Visa/Mastercard/Isracard ~45% | Bit ~15% | PayPal ~10% | Apple Pay, Google Pay ~10% | Debit Cards ~8% | Bank Transfer ~5% | BNPL ~5% | PayBox ~2%</t>
  </si>
  <si>
    <t>Isracard dominant. Bit leading mobile payment. BNPL growing 36% annually.</t>
  </si>
  <si>
    <t>Africa</t>
  </si>
  <si>
    <t>🇿🇦 South Africa</t>
  </si>
  <si>
    <t>Visa/Mastercard ~35% | Ozow, Stitch (Instant EFT) ~25% | Apple Pay, SnapScan ~12% | Cash ~10% | PayPal ~5% | PayJustNow, Payflex ~5% | Capitec Pay ~5% | Zapper ~3%</t>
  </si>
  <si>
    <t>Instant EFT dominant for e-com. Capitec banking app growing fast.</t>
  </si>
  <si>
    <t>🇲🇦 Morocco</t>
  </si>
  <si>
    <t>Cash ~40% | CMI/Visa/Mastercard ~25% | Bank Transfer ~10% | M-Wallet, inwi money ~10% | Apple Pay ~5% | PayPal ~5% | Maroc Telecommerce ~3% | BNPL ~2%</t>
  </si>
  <si>
    <t>CMI is local interbank center. Apple Pay recently launched.</t>
  </si>
  <si>
    <t>🇪🇬 Egypt</t>
  </si>
  <si>
    <t>Cash ~40% | Fawry, Vodafone Cash ~20% | Visa/Mastercard/Meeza ~20% | InstaPay ~8% | Bank Transfer ~5% | ValU, Shahry ~4% | PayPal ~3%</t>
  </si>
  <si>
    <t>Fawry: 35M+ users. Meeza national card. InstaPay is CBE instant platform.</t>
  </si>
  <si>
    <t>🇳🇬 Nigeria</t>
  </si>
  <si>
    <t>NIP (NIBSS Instant Payment) ~35% | OPay, PalmPay, Moniepoint ~25% | Visa/Mastercard/Verve ~15% | USSD Banking ~10% | Cash ~8% | NQR ~4% | PayPal ~2% | Paystack, Flutterwave ~1%</t>
  </si>
  <si>
    <t>OPay leading super-app. Verve local card. USSD for feature phones.</t>
  </si>
  <si>
    <t>🇨🇳 China</t>
  </si>
  <si>
    <t>Alipay ~55% | WeChat Pay ~30% | UnionPay ~8% | Bank Transfer ~3% | e-CNY (digital yuan) ~2% | JD Pay, Douyin Pay ~2%</t>
  </si>
  <si>
    <t>Alipay + WeChat Pay = 85%+ of digital payments. e-CNY expanding.</t>
  </si>
  <si>
    <t>🇮🇳 India</t>
  </si>
  <si>
    <t>UPI (Google Pay, PhonePe, Paytm) ~50% | Visa/Mastercard/RuPay ~18% | Paytm Wallet, Amazon Pay ~12% | Net Banking ~8% | Cash ~8% | LazyPay, Simpl ~3% | NEFT/IMPS ~1%</t>
  </si>
  <si>
    <t>UPI: 10B+ monthly txns, #1 globally. RuPay national card. UPI expanding internationally.</t>
  </si>
  <si>
    <t>🇰🇷 South Korea</t>
  </si>
  <si>
    <t>Samsung/Shinhan/Hyundai (credit) ~40% | Kakao Pay, Naver Pay, Toss ~25% | Debit Cards ~12% | Bank Transfer ~10% | Samsung Pay ~5% | BNPL ~3% | Virtual Accounts ~3% | Payco ~2%</t>
  </si>
  <si>
    <t>Highest credit card usage in APAC. Kakao Pay tied to KakaoTalk.</t>
  </si>
  <si>
    <t>🇯🇵 Japan</t>
  </si>
  <si>
    <t>JCB/Visa/Mastercard (credit) ~40% | PayPay, Rakuten Pay, LINE Pay ~20% | Konbini (7-Eleven, FamilyMart) ~10% | Zengin ~8% | d-barai, au Pay ~5% | Debit ~5% | Suica, PASMO ~4% | Paidy ~3% | Cash ~3% | Amazon Pay ~2%</t>
  </si>
  <si>
    <t>JCB dominant. PayPay #1 QR. Konbini unique to Japan. Paidy acquired by PayPal.</t>
  </si>
  <si>
    <t>🇵🇭 Philippines</t>
  </si>
  <si>
    <t>GCash, Maya ~45% | Cash ~20% | InstaPay, PESONet ~12% | Visa/Mastercard ~10% | Over-the-counter ~5% | PayPal ~4% | QR Ph ~3% | BillEase, Atome ~1%</t>
  </si>
  <si>
    <t>GCash: 90M+ users. PayPal big for cross-border freelancers.</t>
  </si>
  <si>
    <t>🇲🇾 Malaysia</t>
  </si>
  <si>
    <t>Touch 'n Go, GrabPay, Boost ~30% | Visa/Mastercard ~25% | FPX ~20% | DuitNow ~10% | Cash ~5% | Atome, ShopBack PayLater ~5% | PayPal ~3% | ShopeePay ~2%</t>
  </si>
  <si>
    <t>Touch 'n Go dominant. FPX national online banking. DuitNow QR standardized.</t>
  </si>
  <si>
    <t>🇸🇬 Singapore</t>
  </si>
  <si>
    <t>Visa/Mastercard/Amex ~35% | GrabPay, Apple Pay, Google Pay ~25% | PayNow ~15% | PayPal ~8% | Atome, ShopBack, Pace ~5% | FAST/GIRO ~5% | NETS ~4% | ShopeePay ~3%</t>
  </si>
  <si>
    <t>GrabPay dominant. PayNow linked to NRIC/phone. Affluent market.</t>
  </si>
  <si>
    <t>🇦🇺 Australia</t>
  </si>
  <si>
    <t>Visa/Mastercard/eftpos ~40% | Apple Pay, Google Pay ~20% | PayPal ~12% | Afterpay, Zip ~8% | NPP/Osko, PayTo ~8% | BPAY ~4% | POLi ~3% | Cash ~3% | Amazon Pay ~2%</t>
  </si>
  <si>
    <t>Afterpay born here. eftpos local debit. NPP/Osko for instant payments.</t>
  </si>
  <si>
    <t>🇳🇿 New Zealand</t>
  </si>
  <si>
    <t>Visa/Mastercard ~40% | Apple Pay, Google Pay ~18% | PayPal ~12% | POLi ~8% | Bank Transfer ~8% | Afterpay, Laybuy ~7% | Account2Account ~4% | Cash ~3%</t>
  </si>
  <si>
    <t>Laybuy NZ-born BNPL. POLi for online banking transfers.</t>
  </si>
  <si>
    <t>🇮🇩 Indonesia</t>
  </si>
  <si>
    <t>GoPay, OVO, DANA, ShopeePay ~40% | Bank Transfer / Virtual Account ~20% | QRIS ~10% | Cash ~10% | Visa/Mastercard ~8% | Alfamart, Indomaret ~5% | Kredivo, Akulaku ~4% | Debit ~3%</t>
  </si>
  <si>
    <t>GoPay (GoTo) #1. QRIS national QR (30M+ merchants). Low card penetration.</t>
  </si>
  <si>
    <t>🇹🇭 Thailand</t>
  </si>
  <si>
    <t>PromptPay ~35% | Visa/Mastercard ~20% | TrueMoney, Rabbit LINE Pay ~18% | Bank Transfer ~10% | Cash ~8% | Thai QR ~5% | Atome, ShopBack ~3% | Counter (7-Eleven) ~1%</t>
  </si>
  <si>
    <t>PromptPay #1 (linked to citizen ID). TrueMoney dominant wallet.</t>
  </si>
  <si>
    <t>🇻🇳 Vietnam</t>
  </si>
  <si>
    <t>Cash ~35% | MoMo, ZaloPay, VNPay ~25% | Napas 247 ~18% | Visa/Mastercard/Napas ~10% | VietQR ~5% | Counter Payment ~4% | BNPL ~3%</t>
  </si>
  <si>
    <t>MoMo: 30M+ users. QR grew 471% since 2018. Napas 247 growing fast.</t>
  </si>
  <si>
    <t>🇭🇰 Hong Kong</t>
  </si>
  <si>
    <t>Visa/Mastercard/UnionPay ~35% | Octopus ~20% | Apple Pay, AlipayHK ~18% | FPS ~12% | PayPal ~5% | WeChat Pay HK ~5% | PayMe (HSBC) ~3% | BNPL ~2%</t>
  </si>
  <si>
    <t>Octopus: transit card evolved to universal. AlipayHK for cross-border.</t>
  </si>
  <si>
    <t>🇹🇼 Taiwan</t>
  </si>
  <si>
    <t>Visa/Mastercard/JCB (credit) ~38% | LINE Pay, JKO Pay ~25% | ibon, FamiPort ~12% | Bank Transfer/ATM ~8% | Apple Pay, Google Pay, Samsung Pay ~8% | Cash ~5% | AFTEE, Atome ~2% | EasyCard, iPASS ~2%</t>
  </si>
  <si>
    <t>JCB strong (Japan ties). LINE Pay dominant. Konbini payments unique to East Asia.</t>
  </si>
  <si>
    <t>ID GOOGLE SHEETS</t>
  </si>
  <si>
    <t>1hLWO1ep4_Mj0RwxBs0OKriT4Dvgp5GD0MqHuFtJfXwA</t>
  </si>
  <si>
    <r>
      <rPr>
        <rFont val="Poppins"/>
        <color theme="1"/>
        <sz val="8.0"/>
      </rPr>
      <t xml:space="preserve">*The ID of this document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</si>
  <si>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ID GOOGLE SLIDES</t>
  </si>
  <si>
    <t>1gEpzlXp0rDNDTA0I888divVPGPvZRrgr8gnM6xojGZg</t>
  </si>
  <si>
    <r>
      <rPr>
        <rFont val="Poppins"/>
        <color theme="1"/>
        <sz val="8.0"/>
      </rPr>
      <t xml:space="preserve">*The ID of the Google Slides that will be linked to this BC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</si>
  <si>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Company</t>
  </si>
  <si>
    <t>Canva</t>
  </si>
  <si>
    <t>*Company name</t>
  </si>
  <si>
    <t>*Company Industry</t>
  </si>
  <si>
    <t>TPV Acceptance Rate Uplift - Total</t>
  </si>
  <si>
    <t>*Gotten automatically from formulas</t>
  </si>
  <si>
    <t>PROBLEM 1</t>
  </si>
  <si>
    <t>Dependencies on a single provider</t>
  </si>
  <si>
    <t>Fee Renegociation - Total</t>
  </si>
  <si>
    <t>PROBLEM 2</t>
  </si>
  <si>
    <t>No fallbacks or smart routing</t>
  </si>
  <si>
    <t>New APM TPV Growth - Total</t>
  </si>
  <si>
    <t>PROBLEM 3</t>
  </si>
  <si>
    <t xml:space="preserve">High transactional costs </t>
  </si>
  <si>
    <t>Engineering Cost Savings - total</t>
  </si>
  <si>
    <t>PROBLEM 4</t>
  </si>
  <si>
    <t>Need of alternative payment methods (APMs) that can help increase sales</t>
  </si>
  <si>
    <t>Total Benefit</t>
  </si>
  <si>
    <t>PROBLEM 5</t>
  </si>
  <si>
    <t>Fear of reconciliation issues when using multiple payment providers; with us, everything is reconciled in one place</t>
  </si>
  <si>
    <t>Sdr Name</t>
  </si>
  <si>
    <t>Germán Tatis</t>
  </si>
  <si>
    <t>CORREO</t>
  </si>
  <si>
    <t>german.tatis@y.uno</t>
  </si>
  <si>
    <r>
      <rPr>
        <rFont val="Poppins"/>
        <color theme="1"/>
        <sz val="8.0"/>
      </rPr>
      <t>*</t>
    </r>
    <r>
      <rPr>
        <rFont val="Poppins"/>
        <i/>
        <color theme="1"/>
        <sz val="8.0"/>
      </rPr>
      <t>SDR mail of who is sending the BC</t>
    </r>
  </si>
  <si>
    <t>Key Inputs</t>
  </si>
  <si>
    <t>Annual Total Visits (Similar Web)</t>
  </si>
  <si>
    <t>*Take the total annual visits from similarweb based on company domain</t>
  </si>
  <si>
    <t>Annual Revenue</t>
  </si>
  <si>
    <r>
      <rPr>
        <rFont val="Poppins"/>
        <i/>
        <color theme="1"/>
        <sz val="8.0"/>
      </rPr>
      <t xml:space="preserve">*This it gotten from CHATGPT Deep research/public Financial Reports. 
</t>
    </r>
    <r>
      <rPr>
        <rFont val="Poppins"/>
        <b/>
        <i/>
        <color theme="1"/>
        <sz val="8.0"/>
      </rPr>
      <t>Very important as it is a point of reference for us to have better/conservative outputs.</t>
    </r>
  </si>
  <si>
    <t>Take Rate</t>
  </si>
  <si>
    <t>*Gotten automatically from other tabs</t>
  </si>
  <si>
    <t>Total Processed Value</t>
  </si>
  <si>
    <t>Values brought from other tables/formulas</t>
  </si>
  <si>
    <t>Send to presentation</t>
  </si>
  <si>
    <t>Amount of years</t>
  </si>
  <si>
    <t>a</t>
  </si>
  <si>
    <t>b</t>
  </si>
  <si>
    <t>c</t>
  </si>
  <si>
    <t>d</t>
  </si>
  <si>
    <t>e</t>
  </si>
  <si>
    <t>f</t>
  </si>
  <si>
    <t>g</t>
  </si>
  <si>
    <t>TOP COUNTRIES AT REGION</t>
  </si>
  <si>
    <t>Aspect/Country</t>
  </si>
  <si>
    <t>Brazil</t>
  </si>
  <si>
    <t>Mexico</t>
  </si>
  <si>
    <t>Peru</t>
  </si>
  <si>
    <t>Colombia</t>
  </si>
  <si>
    <t>Argentina</t>
  </si>
  <si>
    <t>Total</t>
  </si>
  <si>
    <t>Range A</t>
  </si>
  <si>
    <t>Explanation</t>
  </si>
  <si>
    <t>Web Traffic (SoW)</t>
  </si>
  <si>
    <t>*This is coming from Similarweb: is the share (%) of web traffic visits per market.</t>
  </si>
  <si>
    <t>Web Traffic Visits</t>
  </si>
  <si>
    <t>Conversion</t>
  </si>
  <si>
    <t>View to Checkout</t>
  </si>
  <si>
    <t>Checkout Succesfull</t>
  </si>
  <si>
    <t>Succesful Transactions (x Year)</t>
  </si>
  <si>
    <t>ATV</t>
  </si>
  <si>
    <t>*Average Ticket Value. You can get this from Chagpt - be aware that in some cases ATV con change
 per market, as some markets are more expensive than others.</t>
  </si>
  <si>
    <t>TPV (x Year)</t>
  </si>
  <si>
    <t>SoW Cards (%)</t>
  </si>
  <si>
    <t xml:space="preserve">*Take into consideration which APMs the merchant has/lack in the checkout of each market, and the relevance of the APMs they have/lack. 
If the merchant does not have any APM available, then the SoW cards would be 100%. </t>
  </si>
  <si>
    <t>TPV Cards (x Year)</t>
  </si>
  <si>
    <t>*Millions/year</t>
  </si>
  <si>
    <t>SoW APMs (%)</t>
  </si>
  <si>
    <t>*SoW APMs is automatically calculated when inputing the SoW cards.</t>
  </si>
  <si>
    <t>TPV APMs (x Year)</t>
  </si>
  <si>
    <t>Cards</t>
  </si>
  <si>
    <t>Δ Acceptance rate (%)</t>
  </si>
  <si>
    <t>Incremental TPV</t>
  </si>
  <si>
    <t>Incremental Revenue</t>
  </si>
  <si>
    <t>Annual Cards TPV/Country</t>
  </si>
  <si>
    <t>Local entity?</t>
  </si>
  <si>
    <t>no</t>
  </si>
  <si>
    <t>*You need to research if they do or if they dont have a local entity in each of the markets.
 By doing this, we could get to the assumption of what XB/Local MDR they are paying, and how much could help them reduce MDR fees.</t>
  </si>
  <si>
    <t>Current MDR based on Local Entity</t>
  </si>
  <si>
    <t>*If they have a local entity, we will assume that they are paying local MDR fees - if they don't have a local
entity, we assume they are processing under Cross Border fees.</t>
  </si>
  <si>
    <t>Reduction in MDR</t>
  </si>
  <si>
    <t xml:space="preserve">*If they have local entity, we assume that maybe we can reduce their MDR fee in 0.2% due to local 
gateway/aggregators introductions. If they dont have local entity, we assume that we are going help them to 
move from Cross Border Fees to MoR fees. </t>
  </si>
  <si>
    <t>New MDR</t>
  </si>
  <si>
    <t>MDR Reduction</t>
  </si>
  <si>
    <t>Cards Benefit (revenue)</t>
  </si>
  <si>
    <t xml:space="preserve">*This is the sum of the incremental revenue generated when increasing acceptance rate, and the MDR 
reduction generated when working with Yuno. </t>
  </si>
  <si>
    <t>APMs</t>
  </si>
  <si>
    <t>Visa Debit, Elo, Boleto, PicPay, NuPay</t>
  </si>
  <si>
    <t>Oxxo Pay, SPEI, Apple Pay, Google Pay, CoDi</t>
  </si>
  <si>
    <t>Debit, Yape, PLIN, PagoEfectivo</t>
  </si>
  <si>
    <t>PSE, Daviplata, Efecty, Bancolombia</t>
  </si>
  <si>
    <t>Mercado Pago, MODO, Cabal</t>
  </si>
  <si>
    <t>*Which APMs is the merchant laking of in each of the markets?</t>
  </si>
  <si>
    <t>Annual APMs TPV/Country</t>
  </si>
  <si>
    <t>Current APMs</t>
  </si>
  <si>
    <t>*How many APMs does the merchant has at checkout in each of the markets</t>
  </si>
  <si>
    <t>APMs to Integrate</t>
  </si>
  <si>
    <t>*How many APMs could the merchat enable through our API? (AKA. Which crucial APMs are they lacking of 
in each of the markets?</t>
  </si>
  <si>
    <t>(%) Incremental Transactions</t>
  </si>
  <si>
    <t>*This is the % of new transactios coming through when enabling those new APMs. 
We need to be conservative here: 
- If we are offering relevant/crucial APMs: 8% - 12% (eg. PIX in Brazil, UPI in India, PayPal in UK)
- If we are offering not that much relevant APMs in the market: 2% - 4% (eg. Boleto in Brazil, Dale in Colombia).</t>
  </si>
  <si>
    <t>APMs Incremental TPV</t>
  </si>
  <si>
    <t>APMs Incremental Revenue</t>
  </si>
  <si>
    <t>(%) TPV from Cards to APMs</t>
  </si>
  <si>
    <t>*This is the % of card transactions shifted to APMs transactions thanks of them being enabled. 
We need to be conservative here: 
- If we are offering relevant/crucial APMs: 4% - 5% (eg. PIX in Brazil, UPI in India, PayPal in UK)
- If we are offering not that much relevant APMs in the market: 1% - 2.5% (eg. Boleto in Brazil, Dale in Colombia).</t>
  </si>
  <si>
    <t>APMs Shifted TPV</t>
  </si>
  <si>
    <t>Cards MDR</t>
  </si>
  <si>
    <t>APMs MDR Cost</t>
  </si>
  <si>
    <t>APM MDR Savings</t>
  </si>
  <si>
    <t>APMs Benefit</t>
  </si>
  <si>
    <t>*This is the sum of the incremental revenue generated when including new APMs, and the MDR 
savings thanks to transactions going through APMs rather than cards.</t>
  </si>
  <si>
    <t>Dev Engineering Cost Reduction</t>
  </si>
  <si>
    <t>Cost Per integration/Month</t>
  </si>
  <si>
    <t>Total Cost Per Integration</t>
  </si>
  <si>
    <t>Total Cost for all Integrations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</si>
  <si>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</si>
  <si>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t>Time to integrate +1 APM (Months)</t>
  </si>
  <si>
    <t>Total time of integration (Months)</t>
  </si>
  <si>
    <t>Cost per month to integrate +1 APM /month</t>
  </si>
  <si>
    <t>Time to integrate</t>
  </si>
  <si>
    <t>Months</t>
  </si>
  <si>
    <t xml:space="preserve">   Product</t>
  </si>
  <si>
    <t>-</t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</si>
  <si>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</si>
  <si>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 xml:space="preserve">   Engineering</t>
  </si>
  <si>
    <t xml:space="preserve">   Cards</t>
  </si>
  <si>
    <t xml:space="preserve">   Fraud/Risk</t>
  </si>
  <si>
    <t xml:space="preserve">   Treasury</t>
  </si>
  <si>
    <t xml:space="preserve">   Compliance</t>
  </si>
  <si>
    <t xml:space="preserve">   Finance</t>
  </si>
  <si>
    <t>Formulas de reglas establecidas en otras hojas</t>
  </si>
  <si>
    <t xml:space="preserve">   Banking &amp; Payments</t>
  </si>
  <si>
    <t>Need MoR/Local Processing Integration?</t>
  </si>
  <si>
    <t>MoR/Local Processor to Integrate</t>
  </si>
  <si>
    <t>Time to integrate +1 PSP (Months)</t>
  </si>
  <si>
    <t>Cost per month to integrate +1 PSP</t>
  </si>
  <si>
    <t>Total Dev/Engineering Savings</t>
  </si>
  <si>
    <t>CARDS</t>
  </si>
  <si>
    <t>TOTAL</t>
  </si>
  <si>
    <t>Total time spent on integrations</t>
  </si>
  <si>
    <t>Years</t>
  </si>
  <si>
    <t>Yuno integration</t>
  </si>
  <si>
    <t>Difference</t>
  </si>
  <si>
    <t>Total time saved (Months)</t>
  </si>
  <si>
    <t>Total time saved (Years)</t>
  </si>
  <si>
    <t>United States</t>
  </si>
  <si>
    <t>Canada</t>
  </si>
  <si>
    <t>Yes</t>
  </si>
  <si>
    <t>No</t>
  </si>
  <si>
    <t>Apple Pay, Google Pay, Bank Transfer, Klarna, Venmo</t>
  </si>
  <si>
    <t>Interac, Apple Pay, Google Pay, Afterpay</t>
  </si>
  <si>
    <t>**Esto deberia ser "programable" en base a cuantos APMs tiene el merchant y cuantos "buenos apms" hay por integrar</t>
  </si>
  <si>
    <t>MSC Cruises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</si>
  <si>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</si>
  <si>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</si>
  <si>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France</t>
  </si>
  <si>
    <t>Spain</t>
  </si>
  <si>
    <t>United Kingdom</t>
  </si>
  <si>
    <t>Italy</t>
  </si>
  <si>
    <t>Germany</t>
  </si>
  <si>
    <t>Cartes Bancaires, Apple Pay, Google Pay, Wero, Alma</t>
  </si>
  <si>
    <t>Bizum, Trustly, Apple Pay, Google Pay</t>
  </si>
  <si>
    <t>Apple Pay, Google Pay, Open Banking, Klarna</t>
  </si>
  <si>
    <t>Satispay, PostePay, Open Banking</t>
  </si>
  <si>
    <t>Apple Pay, Google Pay, Klarna</t>
  </si>
  <si>
    <t>AIRBNB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</si>
  <si>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</si>
  <si>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</si>
  <si>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Indonesia</t>
  </si>
  <si>
    <t>India</t>
  </si>
  <si>
    <t>Philippines</t>
  </si>
  <si>
    <t>Japan</t>
  </si>
  <si>
    <t>Vietnam</t>
  </si>
  <si>
    <t>Virtual Account</t>
  </si>
  <si>
    <t>RuPay, Net Banking</t>
  </si>
  <si>
    <t>Maya, Instapay</t>
  </si>
  <si>
    <t>Konbini, LINE Pay, au Pay</t>
  </si>
  <si>
    <t>ZaloPay, VNPay</t>
  </si>
  <si>
    <t>Shop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</si>
  <si>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</si>
  <si>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</si>
  <si>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Ecuador</t>
  </si>
  <si>
    <t>(%) Incremental AOV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</si>
</sst>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.00_);_(@_)"/>
    <numFmt numFmtId="165" formatCode="_(&quot;$&quot;* #,##0_);_(&quot;$&quot;* \(#,##0\);_(&quot;$&quot;* &quot;-&quot;??_);_(@_)"/>
    <numFmt numFmtId="166" formatCode="&quot;$&quot;#,##0.00"/>
    <numFmt numFmtId="167" formatCode="&quot;$&quot;#,##0"/>
    <numFmt numFmtId="168" formatCode="#,##0.0"/>
    <numFmt numFmtId="169" formatCode="0.0"/>
    <numFmt numFmtId="170" formatCode="_(&quot;$&quot;* #,##0.0_);_(&quot;$&quot;* \(#,##0.0\);_(&quot;$&quot;* &quot;-&quot;??.0_);_(@_)"/>
    <numFmt numFmtId="171" formatCode="&quot;$&quot;#,##0.0"/>
    <numFmt numFmtId="172" formatCode="_(&quot;$&quot;* #,##0.00_);_(&quot;$&quot;* \(#,##0.00\);_(&quot;$&quot;* &quot;-&quot;??_);_(@_)"/>
    <numFmt numFmtId="173" formatCode="&quot;$&quot;#,##0.0000"/>
  </numFmts>
  <fonts count="4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u/>
      <color theme="1"/>
      <name val="Arial"/>
      <scheme val="minor"/>
    </font>
    <font>
      <b/>
      <sz val="8.0"/>
      <color theme="1"/>
      <name val="Poppins"/>
    </font>
    <font>
      <color theme="1"/>
      <name val="Arial"/>
      <scheme val="minor"/>
    </font>
    <font>
      <sz val="8.0"/>
      <color theme="1"/>
      <name val="Poppins"/>
    </font>
    <font>
      <sz val="8.0"/>
      <color rgb="FF0000FF"/>
      <name val="Poppins"/>
    </font>
    <font>
      <sz val="8.0"/>
      <color rgb="FFFF0000"/>
      <name val="Poppins"/>
    </font>
    <font>
      <sz val="8.0"/>
      <color rgb="FF6AA84F"/>
      <name val="Poppins"/>
    </font>
    <font>
      <u/>
      <color theme="1"/>
      <name val="Arial"/>
      <scheme val="minor"/>
    </font>
    <font>
      <b/>
      <sz val="8.0"/>
      <color rgb="FFFF0000"/>
      <name val="Poppins"/>
    </font>
    <font>
      <color theme="1"/>
      <name val="Arial"/>
    </font>
    <font>
      <u/>
      <color theme="1"/>
      <name val="Arial"/>
      <scheme val="minor"/>
    </font>
    <font>
      <b/>
      <sz val="8.0"/>
      <color rgb="FF222222"/>
      <name val="Poppins"/>
    </font>
    <font>
      <b/>
      <sz val="11.0"/>
      <color rgb="FFFFFFFF"/>
      <name val="Arial"/>
    </font>
    <font>
      <sz val="11.0"/>
      <color rgb="FF000000"/>
      <name val="Calibri"/>
    </font>
    <font>
      <b/>
      <color rgb="FF1F4E79"/>
      <name val="Arial"/>
    </font>
    <font>
      <i/>
      <sz val="9.0"/>
      <color theme="1"/>
      <name val="Arial"/>
    </font>
    <font>
      <color rgb="FFFF0000"/>
      <name val="Arial"/>
      <scheme val="minor"/>
    </font>
    <font>
      <i/>
      <sz val="8.0"/>
      <color theme="1"/>
      <name val="Poppins"/>
    </font>
    <font>
      <b/>
      <sz val="8.0"/>
      <color rgb="FFFFFFFF"/>
      <name val="Poppins"/>
    </font>
    <font>
      <b/>
      <sz val="8.0"/>
      <color rgb="FF6AA84F"/>
      <name val="Poppins"/>
    </font>
    <font>
      <sz val="8.0"/>
      <color rgb="FF000000"/>
      <name val="Poppins"/>
    </font>
    <font>
      <sz val="7.0"/>
      <color theme="1"/>
      <name val="Poppins"/>
    </font>
    <font>
      <b/>
      <i/>
      <sz val="8.0"/>
      <color rgb="FFFFFFFF"/>
      <name val="Poppins"/>
    </font>
    <font>
      <b/>
      <sz val="8.0"/>
      <color rgb="FF000000"/>
      <name val="Poppins"/>
    </font>
    <font>
      <sz val="8.0"/>
      <color rgb="FF38761D"/>
      <name val="Poppins"/>
    </font>
    <font>
      <i/>
      <color theme="1"/>
      <name val="Arial"/>
      <scheme val="minor"/>
    </font>
    <font>
      <i/>
      <sz val="8.0"/>
      <color rgb="FFFF0000"/>
      <name val="Poppins"/>
    </font>
    <font>
      <b/>
      <sz val="8.0"/>
      <color rgb="FF0000FF"/>
      <name val="Poppins"/>
    </font>
    <font>
      <sz val="8.0"/>
      <color rgb="FFFFFFFF"/>
      <name val="Poppins"/>
    </font>
    <font>
      <i/>
      <sz val="8.0"/>
      <color rgb="FF000000"/>
      <name val="Poppins"/>
    </font>
    <font>
      <b/>
      <i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  <font>
      <b/>
      <u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</fonts>
  <fills count="16">
    <fill>
      <patternFill patternType="none"/>
    </fill>
    <fill>
      <patternFill patternType="lightGray"/>
    </fill>
    <fill>
      <patternFill patternType="solid">
        <fgColor rgb="FF513CE2"/>
        <bgColor rgb="FF513CE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51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8" fillId="0" fontId="6" numFmtId="0" xfId="0" applyAlignment="1" applyBorder="1" applyFont="1">
      <alignment readingOrder="0"/>
    </xf>
    <xf borderId="9" fillId="3" fontId="6" numFmtId="0" xfId="0" applyBorder="1" applyFill="1" applyFont="1"/>
    <xf borderId="0" fillId="0" fontId="7" numFmtId="0" xfId="0" applyAlignment="1" applyFont="1">
      <alignment vertical="bottom"/>
    </xf>
    <xf borderId="9" fillId="4" fontId="6" numFmtId="0" xfId="0" applyBorder="1" applyFill="1" applyFont="1"/>
    <xf borderId="9" fillId="5" fontId="6" numFmtId="0" xfId="0" applyBorder="1" applyFill="1" applyFont="1"/>
    <xf borderId="10" fillId="0" fontId="6" numFmtId="0" xfId="0" applyAlignment="1" applyBorder="1" applyFont="1">
      <alignment readingOrder="0"/>
    </xf>
    <xf borderId="11" fillId="6" fontId="6" numFmtId="0" xfId="0" applyBorder="1" applyFill="1" applyFont="1"/>
    <xf borderId="10" fillId="0" fontId="2" numFmtId="0" xfId="0" applyBorder="1" applyFont="1"/>
    <xf borderId="12" fillId="0" fontId="2" numFmtId="0" xfId="0" applyBorder="1" applyFont="1"/>
    <xf borderId="11" fillId="0" fontId="2" numFmtId="0" xfId="0" applyBorder="1" applyFont="1"/>
    <xf borderId="8" fillId="0" fontId="6" numFmtId="9" xfId="0" applyAlignment="1" applyBorder="1" applyFont="1" applyNumberFormat="1">
      <alignment readingOrder="0"/>
    </xf>
    <xf borderId="9" fillId="3" fontId="8" numFmtId="0" xfId="0" applyAlignment="1" applyBorder="1" applyFont="1">
      <alignment horizontal="center" readingOrder="0" vertical="center"/>
    </xf>
    <xf borderId="8" fillId="0" fontId="6" numFmtId="3" xfId="0" applyAlignment="1" applyBorder="1" applyFont="1" applyNumberFormat="1">
      <alignment readingOrder="0"/>
    </xf>
    <xf borderId="9" fillId="0" fontId="9" numFmtId="3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readingOrder="0"/>
    </xf>
    <xf borderId="9" fillId="0" fontId="12" numFmtId="0" xfId="0" applyAlignment="1" applyBorder="1" applyFont="1">
      <alignment horizontal="center" readingOrder="0" vertical="center"/>
    </xf>
    <xf borderId="6" fillId="7" fontId="6" numFmtId="0" xfId="0" applyAlignment="1" applyBorder="1" applyFill="1" applyFont="1">
      <alignment readingOrder="0"/>
    </xf>
    <xf borderId="6" fillId="7" fontId="6" numFmtId="0" xfId="0" applyBorder="1" applyFont="1"/>
    <xf borderId="0" fillId="0" fontId="13" numFmtId="0" xfId="0" applyAlignment="1" applyFont="1">
      <alignment vertical="bottom"/>
    </xf>
    <xf borderId="5" fillId="0" fontId="6" numFmtId="0" xfId="0" applyAlignment="1" applyBorder="1" applyFont="1">
      <alignment horizontal="left" readingOrder="0" shrinkToFit="0" vertical="center" wrapText="1"/>
    </xf>
    <xf borderId="10" fillId="0" fontId="14" numFmtId="0" xfId="0" applyAlignment="1" applyBorder="1" applyFont="1">
      <alignment readingOrder="0"/>
    </xf>
    <xf borderId="11" fillId="0" fontId="12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7" fontId="3" numFmtId="0" xfId="0" applyAlignment="1" applyFont="1">
      <alignment horizontal="center" readingOrder="0"/>
    </xf>
    <xf borderId="13" fillId="2" fontId="3" numFmtId="0" xfId="0" applyAlignment="1" applyBorder="1" applyFont="1">
      <alignment horizontal="center" readingOrder="0"/>
    </xf>
    <xf borderId="14" fillId="0" fontId="2" numFmtId="0" xfId="0" applyBorder="1" applyFont="1"/>
    <xf borderId="13" fillId="2" fontId="3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2" fontId="3" numFmtId="0" xfId="0" applyAlignment="1" applyBorder="1" applyFont="1">
      <alignment horizontal="center" readingOrder="0"/>
    </xf>
    <xf borderId="17" fillId="2" fontId="3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9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19" fillId="8" fontId="16" numFmtId="0" xfId="0" applyAlignment="1" applyBorder="1" applyFill="1" applyFont="1">
      <alignment horizontal="center" readingOrder="0" shrinkToFit="0" wrapText="0"/>
    </xf>
    <xf borderId="20" fillId="9" fontId="16" numFmtId="0" xfId="0" applyAlignment="1" applyBorder="1" applyFill="1" applyFont="1">
      <alignment readingOrder="0" shrinkToFit="0" wrapText="0"/>
    </xf>
    <xf borderId="21" fillId="0" fontId="2" numFmtId="0" xfId="0" applyBorder="1" applyFont="1"/>
    <xf borderId="22" fillId="0" fontId="2" numFmtId="0" xfId="0" applyBorder="1" applyFont="1"/>
    <xf borderId="19" fillId="0" fontId="17" numFmtId="0" xfId="0" applyAlignment="1" applyBorder="1" applyFont="1">
      <alignment shrinkToFit="0" vertical="bottom" wrapText="0"/>
    </xf>
    <xf borderId="19" fillId="0" fontId="18" numFmtId="0" xfId="0" applyAlignment="1" applyBorder="1" applyFont="1">
      <alignment readingOrder="0" shrinkToFit="0" vertical="top" wrapText="0"/>
    </xf>
    <xf borderId="19" fillId="0" fontId="13" numFmtId="0" xfId="0" applyAlignment="1" applyBorder="1" applyFont="1">
      <alignment readingOrder="0" shrinkToFit="0" vertical="top" wrapText="1"/>
    </xf>
    <xf borderId="19" fillId="0" fontId="19" numFmtId="0" xfId="0" applyAlignment="1" applyBorder="1" applyFont="1">
      <alignment readingOrder="0" vertical="top"/>
    </xf>
    <xf borderId="0" fillId="0" fontId="17" numFmtId="0" xfId="0" applyAlignment="1" applyFont="1">
      <alignment shrinkToFit="0" vertical="bottom" wrapText="0"/>
    </xf>
    <xf borderId="19" fillId="0" fontId="18" numFmtId="0" xfId="0" applyAlignment="1" applyBorder="1" applyFont="1">
      <alignment vertical="top"/>
    </xf>
    <xf borderId="0" fillId="0" fontId="13" numFmtId="0" xfId="0" applyAlignment="1" applyFont="1">
      <alignment shrinkToFit="0" vertical="bottom" wrapText="1"/>
    </xf>
    <xf borderId="0" fillId="0" fontId="19" numFmtId="0" xfId="0" applyAlignment="1" applyFont="1">
      <alignment shrinkToFit="0" vertical="top" wrapText="1"/>
    </xf>
    <xf borderId="19" fillId="0" fontId="17" numFmtId="0" xfId="0" applyAlignment="1" applyBorder="1" applyFont="1">
      <alignment readingOrder="0" shrinkToFit="0" vertical="bottom" wrapText="0"/>
    </xf>
    <xf borderId="0" fillId="0" fontId="7" numFmtId="0" xfId="0" applyFont="1"/>
    <xf borderId="23" fillId="10" fontId="5" numFmtId="0" xfId="0" applyAlignment="1" applyBorder="1" applyFill="1" applyFont="1">
      <alignment readingOrder="0"/>
    </xf>
    <xf borderId="24" fillId="11" fontId="20" numFmtId="0" xfId="0" applyAlignment="1" applyBorder="1" applyFill="1" applyFont="1">
      <alignment readingOrder="0" vertical="center"/>
    </xf>
    <xf borderId="0" fillId="7" fontId="7" numFmtId="0" xfId="0" applyAlignment="1" applyFont="1">
      <alignment horizontal="left" readingOrder="0"/>
    </xf>
    <xf borderId="25" fillId="10" fontId="5" numFmtId="0" xfId="0" applyAlignment="1" applyBorder="1" applyFont="1">
      <alignment readingOrder="0"/>
    </xf>
    <xf borderId="26" fillId="11" fontId="20" numFmtId="0" xfId="0" applyAlignment="1" applyBorder="1" applyFont="1">
      <alignment readingOrder="0" vertical="center"/>
    </xf>
    <xf borderId="27" fillId="11" fontId="9" numFmtId="0" xfId="0" applyAlignment="1" applyBorder="1" applyFont="1">
      <alignment horizontal="center" readingOrder="0" vertical="center"/>
    </xf>
    <xf borderId="0" fillId="7" fontId="21" numFmtId="0" xfId="0" applyAlignment="1" applyFont="1">
      <alignment horizontal="left" readingOrder="0"/>
    </xf>
    <xf borderId="23" fillId="0" fontId="5" numFmtId="0" xfId="0" applyAlignment="1" applyBorder="1" applyFont="1">
      <alignment readingOrder="0"/>
    </xf>
    <xf borderId="27" fillId="11" fontId="9" numFmtId="0" xfId="0" applyAlignment="1" applyBorder="1" applyFont="1">
      <alignment horizontal="center" readingOrder="0" vertical="center"/>
    </xf>
    <xf borderId="28" fillId="0" fontId="5" numFmtId="0" xfId="0" applyAlignment="1" applyBorder="1" applyFont="1">
      <alignment readingOrder="0"/>
    </xf>
    <xf borderId="29" fillId="0" fontId="10" numFmtId="164" xfId="0" applyAlignment="1" applyBorder="1" applyFont="1" applyNumberFormat="1">
      <alignment vertical="center"/>
    </xf>
    <xf borderId="30" fillId="0" fontId="10" numFmtId="165" xfId="0" applyAlignment="1" applyBorder="1" applyFont="1" applyNumberFormat="1">
      <alignment vertical="center"/>
    </xf>
    <xf borderId="28" fillId="10" fontId="5" numFmtId="0" xfId="0" applyAlignment="1" applyBorder="1" applyFont="1">
      <alignment readingOrder="0"/>
    </xf>
    <xf borderId="31" fillId="11" fontId="9" numFmtId="0" xfId="0" applyAlignment="1" applyBorder="1" applyFont="1">
      <alignment readingOrder="0" vertical="bottom"/>
    </xf>
    <xf borderId="32" fillId="0" fontId="5" numFmtId="0" xfId="0" applyAlignment="1" applyBorder="1" applyFont="1">
      <alignment readingOrder="0"/>
    </xf>
    <xf borderId="33" fillId="0" fontId="10" numFmtId="164" xfId="0" applyAlignment="1" applyBorder="1" applyFont="1" applyNumberFormat="1">
      <alignment vertical="center"/>
    </xf>
    <xf borderId="32" fillId="10" fontId="5" numFmtId="0" xfId="0" applyAlignment="1" applyBorder="1" applyFont="1">
      <alignment readingOrder="0"/>
    </xf>
    <xf borderId="34" fillId="11" fontId="9" numFmtId="0" xfId="0" applyAlignment="1" applyBorder="1" applyFont="1">
      <alignment vertical="bottom"/>
    </xf>
    <xf borderId="35" fillId="11" fontId="9" numFmtId="0" xfId="0" applyAlignment="1" applyBorder="1" applyFont="1">
      <alignment readingOrder="0" vertical="bottom"/>
    </xf>
    <xf borderId="30" fillId="0" fontId="10" numFmtId="165" xfId="0" applyAlignment="1" applyBorder="1" applyFont="1" applyNumberFormat="1">
      <alignment horizontal="right"/>
    </xf>
    <xf borderId="36" fillId="0" fontId="5" numFmtId="0" xfId="0" applyAlignment="1" applyBorder="1" applyFont="1">
      <alignment readingOrder="0"/>
    </xf>
    <xf borderId="37" fillId="0" fontId="10" numFmtId="164" xfId="0" applyAlignment="1" applyBorder="1" applyFont="1" applyNumberFormat="1">
      <alignment vertical="center"/>
    </xf>
    <xf borderId="36" fillId="10" fontId="5" numFmtId="0" xfId="0" applyAlignment="1" applyBorder="1" applyFont="1">
      <alignment readingOrder="0"/>
    </xf>
    <xf borderId="38" fillId="11" fontId="9" numFmtId="0" xfId="0" applyAlignment="1" applyBorder="1" applyFont="1">
      <alignment vertical="bottom"/>
    </xf>
    <xf borderId="39" fillId="2" fontId="22" numFmtId="0" xfId="0" applyAlignment="1" applyBorder="1" applyFont="1">
      <alignment readingOrder="0"/>
    </xf>
    <xf borderId="40" fillId="2" fontId="22" numFmtId="0" xfId="0" applyAlignment="1" applyBorder="1" applyFont="1">
      <alignment horizontal="center" readingOrder="0" vertical="center"/>
    </xf>
    <xf borderId="27" fillId="11" fontId="12" numFmtId="3" xfId="0" applyAlignment="1" applyBorder="1" applyFont="1" applyNumberFormat="1">
      <alignment horizontal="center" readingOrder="0" vertical="center"/>
    </xf>
    <xf borderId="0" fillId="0" fontId="7" numFmtId="166" xfId="0" applyAlignment="1" applyFont="1" applyNumberFormat="1">
      <alignment horizontal="center"/>
    </xf>
    <xf borderId="27" fillId="11" fontId="12" numFmtId="167" xfId="0" applyAlignment="1" applyBorder="1" applyFont="1" applyNumberFormat="1">
      <alignment horizontal="center" readingOrder="0" vertical="center"/>
    </xf>
    <xf borderId="27" fillId="0" fontId="23" numFmtId="9" xfId="0" applyAlignment="1" applyBorder="1" applyFont="1" applyNumberFormat="1">
      <alignment horizontal="center" readingOrder="0" vertical="center"/>
    </xf>
    <xf borderId="25" fillId="0" fontId="5" numFmtId="0" xfId="0" applyAlignment="1" applyBorder="1" applyFont="1">
      <alignment readingOrder="0"/>
    </xf>
    <xf borderId="41" fillId="0" fontId="23" numFmtId="167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0" fillId="7" fontId="7" numFmtId="168" xfId="0" applyAlignment="1" applyFont="1" applyNumberFormat="1">
      <alignment horizontal="left" readingOrder="0"/>
    </xf>
    <xf borderId="42" fillId="3" fontId="8" numFmtId="0" xfId="0" applyAlignment="1" applyBorder="1" applyFont="1">
      <alignment horizontal="center" readingOrder="0" vertical="center"/>
    </xf>
    <xf borderId="43" fillId="3" fontId="8" numFmtId="9" xfId="0" applyAlignment="1" applyBorder="1" applyFont="1" applyNumberFormat="1">
      <alignment horizontal="center" readingOrder="0" vertical="center"/>
    </xf>
    <xf borderId="0" fillId="7" fontId="7" numFmtId="10" xfId="0" applyAlignment="1" applyFont="1" applyNumberFormat="1">
      <alignment horizontal="left" readingOrder="0"/>
    </xf>
    <xf borderId="44" fillId="0" fontId="9" numFmtId="3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 vertical="center"/>
    </xf>
    <xf borderId="0" fillId="7" fontId="7" numFmtId="167" xfId="0" applyAlignment="1" applyFont="1" applyNumberFormat="1">
      <alignment horizontal="left" readingOrder="0"/>
    </xf>
    <xf borderId="44" fillId="0" fontId="10" numFmtId="0" xfId="0" applyAlignment="1" applyBorder="1" applyFont="1">
      <alignment horizontal="center" readingOrder="0" vertical="center"/>
    </xf>
    <xf borderId="45" fillId="0" fontId="10" numFmtId="0" xfId="0" applyAlignment="1" applyBorder="1" applyFont="1">
      <alignment horizontal="center" readingOrder="0" vertical="center"/>
    </xf>
    <xf borderId="46" fillId="12" fontId="12" numFmtId="0" xfId="0" applyAlignment="1" applyBorder="1" applyFill="1" applyFont="1">
      <alignment horizontal="center" readingOrder="0" vertical="center"/>
    </xf>
    <xf borderId="47" fillId="12" fontId="24" numFmtId="0" xfId="0" applyAlignment="1" applyBorder="1" applyFont="1">
      <alignment horizontal="center" readingOrder="0" vertical="center"/>
    </xf>
    <xf borderId="0" fillId="0" fontId="7" numFmtId="169" xfId="0" applyAlignment="1" applyFont="1" applyNumberFormat="1">
      <alignment readingOrder="0" vertical="center"/>
    </xf>
    <xf borderId="48" fillId="0" fontId="5" numFmtId="0" xfId="0" applyAlignment="1" applyBorder="1" applyFont="1">
      <alignment readingOrder="0"/>
    </xf>
    <xf borderId="49" fillId="0" fontId="10" numFmtId="0" xfId="0" applyAlignment="1" applyBorder="1" applyFont="1">
      <alignment horizontal="center" readingOrder="0" vertical="center"/>
    </xf>
    <xf borderId="30" fillId="0" fontId="10" numFmtId="0" xfId="0" applyAlignment="1" applyBorder="1" applyFont="1">
      <alignment horizontal="right"/>
    </xf>
    <xf borderId="0" fillId="0" fontId="7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7" fontId="7" numFmtId="0" xfId="0" applyAlignment="1" applyFont="1">
      <alignment horizontal="left"/>
    </xf>
    <xf borderId="0" fillId="0" fontId="6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7" numFmtId="167" xfId="0" applyAlignment="1" applyFont="1" applyNumberFormat="1">
      <alignment horizontal="center" readingOrder="0" vertical="center"/>
    </xf>
    <xf borderId="50" fillId="0" fontId="7" numFmtId="166" xfId="0" applyAlignment="1" applyBorder="1" applyFont="1" applyNumberFormat="1">
      <alignment horizontal="center" vertical="bottom"/>
    </xf>
    <xf borderId="50" fillId="0" fontId="7" numFmtId="164" xfId="0" applyAlignment="1" applyBorder="1" applyFont="1" applyNumberFormat="1">
      <alignment horizontal="center" vertical="bottom"/>
    </xf>
    <xf borderId="50" fillId="0" fontId="13" numFmtId="167" xfId="0" applyAlignment="1" applyBorder="1" applyFont="1" applyNumberFormat="1">
      <alignment vertical="bottom"/>
    </xf>
    <xf borderId="0" fillId="0" fontId="7" numFmtId="167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7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21" numFmtId="0" xfId="0" applyAlignment="1" applyFont="1">
      <alignment horizontal="left"/>
    </xf>
    <xf borderId="0" fillId="0" fontId="21" numFmtId="0" xfId="0" applyFont="1"/>
    <xf borderId="0" fillId="7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2" fontId="22" numFmtId="0" xfId="0" applyAlignment="1" applyFont="1">
      <alignment horizontal="center" readingOrder="0" vertical="center"/>
    </xf>
    <xf borderId="3" fillId="2" fontId="22" numFmtId="0" xfId="0" applyAlignment="1" applyBorder="1" applyFont="1">
      <alignment horizontal="left" readingOrder="0"/>
    </xf>
    <xf borderId="6" fillId="13" fontId="22" numFmtId="0" xfId="0" applyAlignment="1" applyBorder="1" applyFill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6" fillId="2" fontId="26" numFmtId="0" xfId="0" applyAlignment="1" applyBorder="1" applyFont="1">
      <alignment horizontal="center" readingOrder="0" vertical="center"/>
    </xf>
    <xf borderId="6" fillId="11" fontId="12" numFmtId="10" xfId="0" applyAlignment="1" applyBorder="1" applyFont="1" applyNumberFormat="1">
      <alignment horizontal="center" readingOrder="0" vertical="center"/>
    </xf>
    <xf borderId="0" fillId="0" fontId="7" numFmtId="10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7" numFmtId="3" xfId="0" applyAlignment="1" applyFont="1" applyNumberFormat="1">
      <alignment horizontal="left" readingOrder="0"/>
    </xf>
    <xf borderId="0" fillId="0" fontId="7" numFmtId="3" xfId="0" applyAlignment="1" applyFont="1" applyNumberFormat="1">
      <alignment horizontal="center" vertical="center"/>
    </xf>
    <xf borderId="0" fillId="0" fontId="21" numFmtId="166" xfId="0" applyAlignment="1" applyFont="1" applyNumberFormat="1">
      <alignment horizontal="left"/>
    </xf>
    <xf borderId="0" fillId="0" fontId="21" numFmtId="166" xfId="0" applyAlignment="1" applyFont="1" applyNumberFormat="1">
      <alignment horizontal="center"/>
    </xf>
    <xf borderId="0" fillId="0" fontId="7" numFmtId="9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horizontal="left" readingOrder="0"/>
    </xf>
    <xf borderId="6" fillId="7" fontId="28" numFmtId="10" xfId="0" applyAlignment="1" applyBorder="1" applyFont="1" applyNumberFormat="1">
      <alignment horizontal="center" readingOrder="0" vertical="center"/>
    </xf>
    <xf borderId="12" fillId="0" fontId="7" numFmtId="0" xfId="0" applyAlignment="1" applyBorder="1" applyFont="1">
      <alignment horizontal="left" readingOrder="0"/>
    </xf>
    <xf borderId="12" fillId="7" fontId="28" numFmtId="10" xfId="0" applyAlignment="1" applyBorder="1" applyFont="1" applyNumberFormat="1">
      <alignment horizontal="center" readingOrder="0" vertical="center"/>
    </xf>
    <xf borderId="0" fillId="11" fontId="8" numFmtId="0" xfId="0" applyAlignment="1" applyFont="1">
      <alignment horizontal="center" readingOrder="0" vertical="center"/>
    </xf>
    <xf borderId="0" fillId="0" fontId="21" numFmtId="166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168" xfId="0" applyAlignment="1" applyFont="1" applyNumberFormat="1">
      <alignment horizontal="center" readingOrder="0" vertical="center"/>
    </xf>
    <xf borderId="0" fillId="0" fontId="5" numFmtId="168" xfId="0" applyAlignment="1" applyFont="1" applyNumberFormat="1">
      <alignment horizontal="right" readingOrder="0" vertical="center"/>
    </xf>
    <xf borderId="6" fillId="11" fontId="8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vertical="center"/>
    </xf>
    <xf borderId="0" fillId="12" fontId="24" numFmtId="170" xfId="0" applyAlignment="1" applyFont="1" applyNumberFormat="1">
      <alignment readingOrder="0"/>
    </xf>
    <xf borderId="0" fillId="3" fontId="8" numFmtId="10" xfId="0" applyAlignment="1" applyFont="1" applyNumberFormat="1">
      <alignment horizontal="center" readingOrder="0" vertical="center"/>
    </xf>
    <xf borderId="12" fillId="0" fontId="5" numFmtId="0" xfId="0" applyAlignment="1" applyBorder="1" applyFont="1">
      <alignment horizontal="left" readingOrder="0"/>
    </xf>
    <xf borderId="12" fillId="7" fontId="27" numFmtId="171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left"/>
    </xf>
    <xf borderId="0" fillId="14" fontId="27" numFmtId="3" xfId="0" applyAlignment="1" applyFill="1" applyFont="1" applyNumberFormat="1">
      <alignment horizontal="left" readingOrder="0"/>
    </xf>
    <xf borderId="0" fillId="14" fontId="24" numFmtId="167" xfId="0" applyAlignment="1" applyFont="1" applyNumberFormat="1">
      <alignment horizontal="center" readingOrder="0" vertical="center"/>
    </xf>
    <xf borderId="3" fillId="7" fontId="24" numFmtId="3" xfId="0" applyAlignment="1" applyBorder="1" applyFont="1" applyNumberFormat="1">
      <alignment horizontal="left" readingOrder="0"/>
    </xf>
    <xf borderId="3" fillId="12" fontId="23" numFmtId="10" xfId="0" applyAlignment="1" applyBorder="1" applyFont="1" applyNumberFormat="1">
      <alignment horizontal="center" readingOrder="0" vertical="center"/>
    </xf>
    <xf borderId="0" fillId="12" fontId="9" numFmtId="0" xfId="0" applyAlignment="1" applyFont="1">
      <alignment readingOrder="0"/>
    </xf>
    <xf borderId="0" fillId="0" fontId="30" numFmtId="0" xfId="0" applyAlignment="1" applyFont="1">
      <alignment horizontal="left" readingOrder="0"/>
    </xf>
    <xf borderId="0" fillId="7" fontId="27" numFmtId="3" xfId="0" applyAlignment="1" applyFont="1" applyNumberFormat="1">
      <alignment horizontal="left" readingOrder="0"/>
    </xf>
    <xf borderId="0" fillId="12" fontId="5" numFmtId="172" xfId="0" applyAlignment="1" applyFont="1" applyNumberFormat="1">
      <alignment horizontal="center" readingOrder="0" vertical="center"/>
    </xf>
    <xf borderId="0" fillId="12" fontId="5" numFmtId="164" xfId="0" applyAlignment="1" applyFont="1" applyNumberFormat="1">
      <alignment horizontal="center" readingOrder="0" vertical="center"/>
    </xf>
    <xf borderId="12" fillId="7" fontId="27" numFmtId="3" xfId="0" applyAlignment="1" applyBorder="1" applyFont="1" applyNumberFormat="1">
      <alignment horizontal="left" readingOrder="0"/>
    </xf>
    <xf borderId="12" fillId="0" fontId="5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center"/>
    </xf>
    <xf borderId="6" fillId="0" fontId="27" numFmtId="167" xfId="0" applyAlignment="1" applyBorder="1" applyFont="1" applyNumberFormat="1">
      <alignment horizontal="left" readingOrder="0" vertical="center"/>
    </xf>
    <xf borderId="6" fillId="7" fontId="27" numFmtId="167" xfId="0" applyAlignment="1" applyBorder="1" applyFont="1" applyNumberFormat="1">
      <alignment horizontal="center" readingOrder="0" vertical="center"/>
    </xf>
    <xf borderId="3" fillId="0" fontId="24" numFmtId="10" xfId="0" applyAlignment="1" applyBorder="1" applyFont="1" applyNumberFormat="1">
      <alignment horizontal="left" readingOrder="0"/>
    </xf>
    <xf borderId="6" fillId="11" fontId="8" numFmtId="3" xfId="0" applyAlignment="1" applyBorder="1" applyFont="1" applyNumberFormat="1">
      <alignment horizontal="center" readingOrder="0" vertical="center"/>
    </xf>
    <xf borderId="3" fillId="11" fontId="8" numFmtId="173" xfId="0" applyAlignment="1" applyBorder="1" applyFont="1" applyNumberFormat="1">
      <alignment horizontal="center" readingOrder="0" vertical="center"/>
    </xf>
    <xf borderId="6" fillId="0" fontId="24" numFmtId="0" xfId="0" applyAlignment="1" applyBorder="1" applyFont="1">
      <alignment horizontal="left" readingOrder="0"/>
    </xf>
    <xf borderId="0" fillId="0" fontId="24" numFmtId="0" xfId="0" applyAlignment="1" applyFont="1">
      <alignment horizontal="left" readingOrder="0"/>
    </xf>
    <xf borderId="0" fillId="7" fontId="28" numFmtId="10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readingOrder="0"/>
    </xf>
    <xf borderId="6" fillId="0" fontId="7" numFmtId="10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readingOrder="0"/>
    </xf>
    <xf borderId="3" fillId="12" fontId="5" numFmtId="166" xfId="0" applyAlignment="1" applyBorder="1" applyFont="1" applyNumberFormat="1">
      <alignment horizontal="center" vertical="center"/>
    </xf>
    <xf borderId="3" fillId="12" fontId="5" numFmtId="173" xfId="0" applyAlignment="1" applyBorder="1" applyFont="1" applyNumberFormat="1">
      <alignment horizontal="center" vertical="center"/>
    </xf>
    <xf borderId="0" fillId="12" fontId="30" numFmtId="0" xfId="0" applyAlignment="1" applyFont="1">
      <alignment horizontal="left" readingOrder="0"/>
    </xf>
    <xf borderId="3" fillId="0" fontId="5" numFmtId="166" xfId="0" applyAlignment="1" applyBorder="1" applyFont="1" applyNumberFormat="1">
      <alignment horizontal="center" vertical="center"/>
    </xf>
    <xf borderId="3" fillId="0" fontId="5" numFmtId="173" xfId="0" applyAlignment="1" applyBorder="1" applyFont="1" applyNumberFormat="1">
      <alignment horizontal="center" vertical="center"/>
    </xf>
    <xf borderId="3" fillId="0" fontId="5" numFmtId="167" xfId="0" applyAlignment="1" applyBorder="1" applyFont="1" applyNumberFormat="1">
      <alignment horizontal="center" vertical="center"/>
    </xf>
    <xf borderId="0" fillId="0" fontId="21" numFmtId="167" xfId="0" applyAlignment="1" applyFont="1" applyNumberFormat="1">
      <alignment horizontal="left"/>
    </xf>
    <xf borderId="0" fillId="11" fontId="24" numFmtId="167" xfId="0" applyAlignment="1" applyFont="1" applyNumberFormat="1">
      <alignment horizontal="center" readingOrder="0" vertical="center"/>
    </xf>
    <xf borderId="0" fillId="0" fontId="21" numFmtId="167" xfId="0" applyAlignment="1" applyFont="1" applyNumberFormat="1">
      <alignment horizontal="left" readingOrder="0"/>
    </xf>
    <xf borderId="6" fillId="7" fontId="24" numFmtId="3" xfId="0" applyAlignment="1" applyBorder="1" applyFont="1" applyNumberFormat="1">
      <alignment horizontal="left" readingOrder="0"/>
    </xf>
    <xf borderId="0" fillId="7" fontId="24" numFmtId="3" xfId="0" applyAlignment="1" applyFont="1" applyNumberFormat="1">
      <alignment horizontal="left" readingOrder="0"/>
    </xf>
    <xf borderId="3" fillId="11" fontId="5" numFmtId="3" xfId="0" applyAlignment="1" applyBorder="1" applyFont="1" applyNumberFormat="1">
      <alignment horizontal="center" readingOrder="0" vertical="center"/>
    </xf>
    <xf borderId="6" fillId="3" fontId="8" numFmtId="9" xfId="0" applyAlignment="1" applyBorder="1" applyFont="1" applyNumberFormat="1">
      <alignment horizontal="center" readingOrder="0" vertical="center"/>
    </xf>
    <xf borderId="12" fillId="11" fontId="8" numFmtId="9" xfId="0" applyAlignment="1" applyBorder="1" applyFont="1" applyNumberFormat="1">
      <alignment horizontal="center" readingOrder="0" vertical="center"/>
    </xf>
    <xf borderId="3" fillId="0" fontId="24" numFmtId="0" xfId="0" applyAlignment="1" applyBorder="1" applyFont="1">
      <alignment readingOrder="0"/>
    </xf>
    <xf borderId="12" fillId="12" fontId="24" numFmtId="164" xfId="0" applyAlignment="1" applyBorder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/>
    </xf>
    <xf borderId="0" fillId="0" fontId="7" numFmtId="164" xfId="0" applyFont="1" applyNumberFormat="1"/>
    <xf borderId="3" fillId="0" fontId="5" numFmtId="164" xfId="0" applyAlignment="1" applyBorder="1" applyFont="1" applyNumberFormat="1">
      <alignment horizontal="center" vertical="center"/>
    </xf>
    <xf borderId="6" fillId="11" fontId="8" numFmtId="9" xfId="0" applyAlignment="1" applyBorder="1" applyFont="1" applyNumberFormat="1">
      <alignment horizontal="center" readingOrder="0" vertical="center"/>
    </xf>
    <xf borderId="12" fillId="0" fontId="24" numFmtId="0" xfId="0" applyAlignment="1" applyBorder="1" applyFont="1">
      <alignment readingOrder="0"/>
    </xf>
    <xf borderId="12" fillId="7" fontId="24" numFmtId="167" xfId="0" applyAlignment="1" applyBorder="1" applyFont="1" applyNumberFormat="1">
      <alignment horizontal="center" readingOrder="0" vertical="center"/>
    </xf>
    <xf borderId="6" fillId="0" fontId="10" numFmtId="10" xfId="0" applyAlignment="1" applyBorder="1" applyFont="1" applyNumberFormat="1">
      <alignment horizontal="center"/>
    </xf>
    <xf borderId="12" fillId="7" fontId="24" numFmtId="3" xfId="0" applyAlignment="1" applyBorder="1" applyFont="1" applyNumberFormat="1">
      <alignment horizontal="left" readingOrder="0"/>
    </xf>
    <xf borderId="12" fillId="7" fontId="24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readingOrder="0" vertical="center"/>
    </xf>
    <xf borderId="3" fillId="0" fontId="5" numFmtId="164" xfId="0" applyAlignment="1" applyBorder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7" fontId="8" numFmtId="3" xfId="0" applyAlignment="1" applyFont="1" applyNumberFormat="1">
      <alignment horizontal="left" readingOrder="0"/>
    </xf>
    <xf borderId="0" fillId="7" fontId="24" numFmtId="167" xfId="0" applyAlignment="1" applyFont="1" applyNumberFormat="1">
      <alignment horizontal="center" readingOrder="0" vertical="center"/>
    </xf>
    <xf borderId="0" fillId="0" fontId="7" numFmtId="0" xfId="0" applyFont="1"/>
    <xf borderId="5" fillId="0" fontId="5" numFmtId="0" xfId="0" applyAlignment="1" applyBorder="1" applyFont="1">
      <alignment readingOrder="0"/>
    </xf>
    <xf borderId="7" fillId="7" fontId="7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4" fillId="12" fontId="7" numFmtId="0" xfId="0" applyAlignment="1" applyBorder="1" applyFont="1">
      <alignment horizontal="center" readingOrder="0"/>
    </xf>
    <xf borderId="3" fillId="14" fontId="27" numFmtId="3" xfId="0" applyAlignment="1" applyBorder="1" applyFont="1" applyNumberFormat="1">
      <alignment horizontal="left" readingOrder="0"/>
    </xf>
    <xf borderId="3" fillId="14" fontId="24" numFmtId="167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readingOrder="0"/>
    </xf>
    <xf borderId="11" fillId="7" fontId="24" numFmtId="0" xfId="0" applyAlignment="1" applyBorder="1" applyFont="1">
      <alignment horizontal="center" readingOrder="0"/>
    </xf>
    <xf borderId="6" fillId="7" fontId="10" numFmtId="3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6" fillId="7" fontId="2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7" fontId="22" numFmtId="0" xfId="0" applyAlignment="1" applyFont="1">
      <alignment readingOrder="0"/>
    </xf>
    <xf borderId="0" fillId="7" fontId="22" numFmtId="0" xfId="0" applyAlignment="1" applyFont="1">
      <alignment horizontal="center" readingOrder="0"/>
    </xf>
    <xf borderId="12" fillId="7" fontId="27" numFmtId="0" xfId="0" applyAlignment="1" applyBorder="1" applyFont="1">
      <alignment horizontal="center" readingOrder="0" vertical="center"/>
    </xf>
    <xf borderId="12" fillId="0" fontId="6" numFmtId="0" xfId="0" applyBorder="1" applyFont="1"/>
    <xf borderId="12" fillId="0" fontId="5" numFmtId="0" xfId="0" applyAlignment="1" applyBorder="1" applyFont="1">
      <alignment horizontal="center"/>
    </xf>
    <xf borderId="3" fillId="2" fontId="22" numFmtId="0" xfId="0" applyAlignment="1" applyBorder="1" applyFont="1">
      <alignment readingOrder="0"/>
    </xf>
    <xf borderId="3" fillId="2" fontId="22" numFmtId="0" xfId="0" applyAlignment="1" applyBorder="1" applyFont="1">
      <alignment horizontal="center" readingOrder="0"/>
    </xf>
    <xf borderId="12" fillId="12" fontId="5" numFmtId="166" xfId="0" applyAlignment="1" applyBorder="1" applyFont="1" applyNumberFormat="1">
      <alignment horizontal="center" readingOrder="0"/>
    </xf>
    <xf borderId="3" fillId="0" fontId="5" numFmtId="166" xfId="0" applyAlignment="1" applyBorder="1" applyFont="1" applyNumberFormat="1">
      <alignment horizontal="center" readingOrder="0"/>
    </xf>
    <xf borderId="3" fillId="7" fontId="5" numFmtId="166" xfId="0" applyAlignment="1" applyBorder="1" applyFont="1" applyNumberFormat="1">
      <alignment horizontal="center" readingOrder="0"/>
    </xf>
    <xf borderId="0" fillId="0" fontId="9" numFmtId="166" xfId="0" applyAlignment="1" applyFont="1" applyNumberFormat="1">
      <alignment horizontal="left" readingOrder="0"/>
    </xf>
    <xf borderId="6" fillId="0" fontId="5" numFmtId="0" xfId="0" applyAlignment="1" applyBorder="1" applyFont="1">
      <alignment readingOrder="0"/>
    </xf>
    <xf borderId="0" fillId="12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12" fontId="7" numFmtId="166" xfId="0" applyAlignment="1" applyFont="1" applyNumberFormat="1">
      <alignment horizontal="center" readingOrder="0"/>
    </xf>
    <xf borderId="0" fillId="7" fontId="7" numFmtId="166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 readingOrder="0" vertical="center"/>
    </xf>
    <xf borderId="6" fillId="0" fontId="7" numFmtId="167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/>
    </xf>
    <xf borderId="45" fillId="0" fontId="10" numFmtId="10" xfId="0" applyAlignment="1" applyBorder="1" applyFont="1" applyNumberFormat="1">
      <alignment horizontal="center" readingOrder="0" vertical="center"/>
    </xf>
    <xf borderId="12" fillId="12" fontId="7" numFmtId="0" xfId="0" applyAlignment="1" applyBorder="1" applyFont="1">
      <alignment horizontal="center" readingOrder="0"/>
    </xf>
    <xf borderId="12" fillId="12" fontId="7" numFmtId="166" xfId="0" applyAlignment="1" applyBorder="1" applyFont="1" applyNumberFormat="1">
      <alignment horizontal="center" readingOrder="0"/>
    </xf>
    <xf borderId="12" fillId="7" fontId="7" numFmtId="166" xfId="0" applyAlignment="1" applyBorder="1" applyFont="1" applyNumberFormat="1">
      <alignment horizontal="center" readingOrder="0"/>
    </xf>
    <xf borderId="0" fillId="0" fontId="24" numFmtId="0" xfId="0" applyAlignment="1" applyFont="1">
      <alignment readingOrder="0"/>
    </xf>
    <xf borderId="6" fillId="7" fontId="24" numFmtId="167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readingOrder="0"/>
    </xf>
    <xf borderId="6" fillId="14" fontId="24" numFmtId="167" xfId="0" applyAlignment="1" applyBorder="1" applyFont="1" applyNumberFormat="1">
      <alignment horizontal="center" readingOrder="0" vertical="center"/>
    </xf>
    <xf borderId="0" fillId="7" fontId="7" numFmtId="0" xfId="0" applyAlignment="1" applyFont="1">
      <alignment readingOrder="0"/>
    </xf>
    <xf borderId="0" fillId="7" fontId="7" numFmtId="167" xfId="0" applyAlignment="1" applyFont="1" applyNumberFormat="1">
      <alignment horizontal="center"/>
    </xf>
    <xf borderId="3" fillId="0" fontId="10" numFmtId="10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7" fontId="24" numFmtId="3" xfId="0" applyAlignment="1" applyFont="1" applyNumberFormat="1">
      <alignment horizontal="center" readingOrder="0" vertical="center"/>
    </xf>
    <xf borderId="12" fillId="12" fontId="31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/>
    </xf>
    <xf borderId="12" fillId="0" fontId="5" numFmtId="166" xfId="0" applyAlignment="1" applyBorder="1" applyFont="1" applyNumberFormat="1">
      <alignment horizontal="center" readingOrder="0"/>
    </xf>
    <xf borderId="3" fillId="0" fontId="5" numFmtId="167" xfId="0" applyAlignment="1" applyBorder="1" applyFont="1" applyNumberFormat="1">
      <alignment horizontal="center"/>
    </xf>
    <xf borderId="0" fillId="0" fontId="7" numFmtId="166" xfId="0" applyAlignment="1" applyFont="1" applyNumberFormat="1">
      <alignment horizontal="center" readingOrder="0"/>
    </xf>
    <xf borderId="12" fillId="0" fontId="7" numFmtId="0" xfId="0" applyAlignment="1" applyBorder="1" applyFont="1">
      <alignment horizontal="center" readingOrder="0"/>
    </xf>
    <xf borderId="12" fillId="0" fontId="7" numFmtId="166" xfId="0" applyAlignment="1" applyBorder="1" applyFont="1" applyNumberFormat="1">
      <alignment horizontal="center" readingOrder="0"/>
    </xf>
    <xf borderId="12" fillId="2" fontId="22" numFmtId="0" xfId="0" applyAlignment="1" applyBorder="1" applyFont="1">
      <alignment horizontal="left" readingOrder="0"/>
    </xf>
    <xf borderId="3" fillId="2" fontId="32" numFmtId="166" xfId="0" applyAlignment="1" applyBorder="1" applyFont="1" applyNumberFormat="1">
      <alignment horizontal="center" readingOrder="0"/>
    </xf>
    <xf borderId="3" fillId="2" fontId="22" numFmtId="166" xfId="0" applyAlignment="1" applyBorder="1" applyFont="1" applyNumberFormat="1">
      <alignment horizontal="center" readingOrder="0"/>
    </xf>
    <xf borderId="0" fillId="12" fontId="7" numFmtId="165" xfId="0" applyAlignment="1" applyFont="1" applyNumberFormat="1">
      <alignment horizontal="center" readingOrder="0"/>
    </xf>
    <xf borderId="0" fillId="12" fontId="9" numFmtId="166" xfId="0" applyAlignment="1" applyFont="1" applyNumberFormat="1">
      <alignment horizontal="left" readingOrder="0"/>
    </xf>
    <xf borderId="0" fillId="0" fontId="6" numFmtId="0" xfId="0" applyFont="1"/>
    <xf borderId="0" fillId="0" fontId="6" numFmtId="0" xfId="0" applyFont="1"/>
    <xf borderId="12" fillId="0" fontId="6" numFmtId="0" xfId="0" applyBorder="1" applyFont="1"/>
    <xf borderId="6" fillId="7" fontId="33" numFmtId="3" xfId="0" applyAlignment="1" applyBorder="1" applyFont="1" applyNumberFormat="1">
      <alignment horizontal="left" readingOrder="0"/>
    </xf>
    <xf borderId="6" fillId="7" fontId="34" numFmtId="3" xfId="0" applyAlignment="1" applyBorder="1" applyFont="1" applyNumberFormat="1">
      <alignment horizontal="left" readingOrder="0"/>
    </xf>
    <xf borderId="6" fillId="0" fontId="6" numFmtId="0" xfId="0" applyBorder="1" applyFont="1"/>
    <xf borderId="12" fillId="12" fontId="22" numFmtId="0" xfId="0" applyAlignment="1" applyBorder="1" applyFont="1">
      <alignment horizontal="left" readingOrder="0"/>
    </xf>
    <xf borderId="12" fillId="12" fontId="22" numFmtId="0" xfId="0" applyAlignment="1" applyBorder="1" applyFont="1">
      <alignment horizontal="right" readingOrder="0"/>
    </xf>
    <xf borderId="3" fillId="12" fontId="22" numFmtId="164" xfId="0" applyAlignment="1" applyBorder="1" applyFont="1" applyNumberFormat="1">
      <alignment horizontal="center" readingOrder="0"/>
    </xf>
    <xf borderId="12" fillId="12" fontId="22" numFmtId="169" xfId="0" applyAlignment="1" applyBorder="1" applyFont="1" applyNumberFormat="1">
      <alignment horizontal="right" readingOrder="0"/>
    </xf>
    <xf borderId="0" fillId="0" fontId="7" numFmtId="10" xfId="0" applyFont="1" applyNumberFormat="1"/>
    <xf borderId="0" fillId="0" fontId="9" numFmtId="168" xfId="0" applyAlignment="1" applyFont="1" applyNumberFormat="1">
      <alignment readingOrder="0"/>
    </xf>
    <xf borderId="0" fillId="12" fontId="9" numFmtId="0" xfId="0" applyAlignment="1" applyFont="1">
      <alignment horizontal="right" readingOrder="0"/>
    </xf>
    <xf borderId="0" fillId="12" fontId="5" numFmtId="164" xfId="0" applyAlignment="1" applyFont="1" applyNumberFormat="1">
      <alignment horizontal="right" readingOrder="0" vertical="center"/>
    </xf>
    <xf borderId="0" fillId="0" fontId="7" numFmtId="167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6" fillId="0" fontId="7" numFmtId="0" xfId="0" applyAlignment="1" applyBorder="1" applyFont="1">
      <alignment horizontal="center" vertical="center"/>
    </xf>
    <xf borderId="3" fillId="12" fontId="5" numFmtId="166" xfId="0" applyAlignment="1" applyBorder="1" applyFont="1" applyNumberFormat="1">
      <alignment horizontal="right" vertical="center"/>
    </xf>
    <xf borderId="3" fillId="0" fontId="5" numFmtId="0" xfId="0" applyAlignment="1" applyBorder="1" applyFont="1">
      <alignment horizontal="center" vertical="center"/>
    </xf>
    <xf borderId="3" fillId="0" fontId="5" numFmtId="167" xfId="0" applyAlignment="1" applyBorder="1" applyFont="1" applyNumberFormat="1">
      <alignment horizontal="right" vertical="center"/>
    </xf>
    <xf borderId="6" fillId="0" fontId="10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6" fillId="12" fontId="22" numFmtId="0" xfId="0" applyAlignment="1" applyBorder="1" applyFont="1">
      <alignment horizontal="center" readingOrder="0" vertical="center"/>
    </xf>
    <xf borderId="0" fillId="12" fontId="35" numFmtId="164" xfId="0" applyAlignment="1" applyFont="1" applyNumberFormat="1">
      <alignment horizontal="center" readingOrder="0" vertical="center"/>
    </xf>
    <xf borderId="3" fillId="12" fontId="36" numFmtId="166" xfId="0" applyAlignment="1" applyBorder="1" applyFont="1" applyNumberFormat="1">
      <alignment horizontal="center" vertical="center"/>
    </xf>
    <xf borderId="12" fillId="12" fontId="37" numFmtId="164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/>
    </xf>
    <xf borderId="12" fillId="0" fontId="38" numFmtId="0" xfId="0" applyAlignment="1" applyBorder="1" applyFont="1">
      <alignment horizontal="center"/>
    </xf>
    <xf borderId="3" fillId="7" fontId="39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2" fillId="0" fontId="1" numFmtId="0" xfId="0" applyBorder="1" applyFont="1"/>
    <xf borderId="6" fillId="0" fontId="12" numFmtId="10" xfId="0" applyAlignment="1" applyBorder="1" applyFont="1" applyNumberFormat="1">
      <alignment horizontal="center" readingOrder="0" vertical="center"/>
    </xf>
    <xf borderId="12" fillId="0" fontId="7" numFmtId="9" xfId="0" applyAlignment="1" applyBorder="1" applyFont="1" applyNumberFormat="1">
      <alignment horizontal="center" readingOrder="0" vertical="center"/>
    </xf>
    <xf borderId="0" fillId="0" fontId="9" numFmtId="9" xfId="0" applyAlignment="1" applyFont="1" applyNumberFormat="1">
      <alignment horizontal="center" readingOrder="0" vertical="center"/>
    </xf>
    <xf borderId="12" fillId="3" fontId="8" numFmtId="9" xfId="0" applyAlignment="1" applyBorder="1" applyFont="1" applyNumberFormat="1">
      <alignment horizontal="center" readingOrder="0" vertical="center"/>
    </xf>
    <xf borderId="6" fillId="0" fontId="9" numFmtId="3" xfId="0" applyAlignment="1" applyBorder="1" applyFont="1" applyNumberFormat="1">
      <alignment horizontal="center" readingOrder="0"/>
    </xf>
    <xf borderId="0" fillId="0" fontId="9" numFmtId="167" xfId="0" applyAlignment="1" applyFont="1" applyNumberFormat="1">
      <alignment horizontal="center" readingOrder="0"/>
    </xf>
    <xf borderId="0" fillId="3" fontId="8" numFmtId="0" xfId="0" applyAlignment="1" applyFont="1">
      <alignment horizontal="center" readingOrder="0" vertical="center"/>
    </xf>
    <xf borderId="12" fillId="0" fontId="5" numFmtId="0" xfId="0" applyAlignment="1" applyBorder="1" applyFont="1">
      <alignment readingOrder="0"/>
    </xf>
    <xf borderId="12" fillId="0" fontId="9" numFmtId="9" xfId="0" applyAlignment="1" applyBorder="1" applyFont="1" applyNumberFormat="1">
      <alignment horizontal="center" readingOrder="0"/>
    </xf>
    <xf borderId="0" fillId="0" fontId="5" numFmtId="3" xfId="0" applyAlignment="1" applyFont="1" applyNumberFormat="1">
      <alignment horizontal="center" vertical="center"/>
    </xf>
    <xf borderId="12" fillId="0" fontId="7" numFmtId="167" xfId="0" applyAlignment="1" applyBorder="1" applyFont="1" applyNumberFormat="1">
      <alignment horizontal="center" readingOrder="0"/>
    </xf>
    <xf borderId="6" fillId="3" fontId="8" numFmtId="10" xfId="0" applyAlignment="1" applyBorder="1" applyFont="1" applyNumberFormat="1">
      <alignment horizontal="center" readingOrder="0" vertical="center"/>
    </xf>
    <xf borderId="12" fillId="3" fontId="8" numFmtId="10" xfId="0" applyAlignment="1" applyBorder="1" applyFont="1" applyNumberFormat="1">
      <alignment horizontal="center" readingOrder="0" vertical="center"/>
    </xf>
    <xf borderId="0" fillId="0" fontId="27" numFmtId="167" xfId="0" applyAlignment="1" applyFont="1" applyNumberFormat="1">
      <alignment horizontal="left" readingOrder="0" vertical="center"/>
    </xf>
    <xf borderId="3" fillId="7" fontId="23" numFmtId="10" xfId="0" applyAlignment="1" applyBorder="1" applyFont="1" applyNumberFormat="1">
      <alignment horizontal="center" readingOrder="0" vertical="center"/>
    </xf>
    <xf borderId="46" fillId="0" fontId="12" numFmtId="0" xfId="0" applyAlignment="1" applyBorder="1" applyFont="1">
      <alignment horizontal="center" readingOrder="0" vertical="center"/>
    </xf>
    <xf borderId="47" fillId="0" fontId="24" numFmtId="0" xfId="0" applyAlignment="1" applyBorder="1" applyFont="1">
      <alignment horizontal="center" readingOrder="0" vertical="center"/>
    </xf>
    <xf borderId="0" fillId="7" fontId="5" numFmtId="3" xfId="0" applyAlignment="1" applyFont="1" applyNumberFormat="1">
      <alignment horizontal="center" readingOrder="0" vertical="center"/>
    </xf>
    <xf borderId="0" fillId="0" fontId="9" numFmtId="3" xfId="0" applyAlignment="1" applyFont="1" applyNumberFormat="1">
      <alignment readingOrder="0"/>
    </xf>
    <xf borderId="12" fillId="0" fontId="5" numFmtId="3" xfId="0" applyAlignment="1" applyBorder="1" applyFont="1" applyNumberFormat="1">
      <alignment horizontal="center" vertical="center"/>
    </xf>
    <xf borderId="3" fillId="3" fontId="8" numFmtId="3" xfId="0" applyAlignment="1" applyBorder="1" applyFont="1" applyNumberFormat="1">
      <alignment horizontal="center" readingOrder="0" vertical="center"/>
    </xf>
    <xf borderId="3" fillId="3" fontId="8" numFmtId="173" xfId="0" applyAlignment="1" applyBorder="1" applyFont="1" applyNumberFormat="1">
      <alignment horizontal="center" readingOrder="0" vertical="center"/>
    </xf>
    <xf borderId="0" fillId="7" fontId="8" numFmtId="0" xfId="0" applyAlignment="1" applyFont="1">
      <alignment horizontal="center" readingOrder="0"/>
    </xf>
    <xf borderId="6" fillId="3" fontId="8" numFmtId="3" xfId="0" applyAlignment="1" applyBorder="1" applyFont="1" applyNumberFormat="1">
      <alignment horizontal="center" readingOrder="0" vertical="center"/>
    </xf>
    <xf borderId="0" fillId="3" fontId="8" numFmtId="3" xfId="0" applyAlignment="1" applyFont="1" applyNumberFormat="1">
      <alignment horizontal="center" readingOrder="0" vertical="center"/>
    </xf>
    <xf borderId="0" fillId="15" fontId="8" numFmtId="10" xfId="0" applyAlignment="1" applyFill="1" applyFont="1" applyNumberFormat="1">
      <alignment horizontal="center" readingOrder="0" vertical="center"/>
    </xf>
    <xf borderId="3" fillId="7" fontId="24" numFmtId="167" xfId="0" applyAlignment="1" applyBorder="1" applyFont="1" applyNumberFormat="1">
      <alignment horizontal="center" readingOrder="0" vertical="center"/>
    </xf>
    <xf borderId="6" fillId="0" fontId="7" numFmtId="1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Aceptance Rate Delta per Indus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2514600</xdr:colOff>
      <xdr:row>13</xdr:row>
      <xdr:rowOff>114300</xdr:rowOff>
    </xdr:from>
    <xdr:ext cx="4038600" cy="942975"/>
    <xdr:grpSp>
      <xdr:nvGrpSpPr>
        <xdr:cNvPr id="2" name="Shape 2" title="Drawing"/>
        <xdr:cNvGrpSpPr/>
      </xdr:nvGrpSpPr>
      <xdr:grpSpPr>
        <a:xfrm>
          <a:off x="1241725" y="573250"/>
          <a:ext cx="4021200" cy="925500"/>
          <a:chOff x="1241725" y="573250"/>
          <a:chExt cx="4021200" cy="925500"/>
        </a:xfrm>
      </xdr:grpSpPr>
      <xdr:sp>
        <xdr:nvSpPr>
          <xdr:cNvPr id="3" name="Shape 3"/>
          <xdr:cNvSpPr/>
        </xdr:nvSpPr>
        <xdr:spPr>
          <a:xfrm>
            <a:off x="1317925" y="649450"/>
            <a:ext cx="3945000" cy="849300"/>
          </a:xfrm>
          <a:prstGeom prst="rect">
            <a:avLst/>
          </a:prstGeom>
          <a:solidFill>
            <a:srgbClr val="9900FF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241725" y="573250"/>
            <a:ext cx="3945000" cy="8493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9900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376575" y="667600"/>
            <a:ext cx="3675300" cy="66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>
                <a:solidFill>
                  <a:srgbClr val="0000FF"/>
                </a:solidFill>
                <a:latin typeface="Poppins"/>
                <a:ea typeface="Poppins"/>
                <a:cs typeface="Poppins"/>
                <a:sym typeface="Poppins"/>
              </a:rPr>
              <a:t>Launch Presentation</a:t>
            </a:r>
            <a:endParaRPr sz="2300">
              <a:solidFill>
                <a:srgbClr val="0000FF"/>
              </a:solidFill>
              <a:latin typeface="Poppins"/>
              <a:ea typeface="Poppins"/>
              <a:cs typeface="Poppins"/>
              <a:sym typeface="Poppins"/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K4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ceptance Rate Delta per Indu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u/0/d/1LJvZcyFPVmWK20rdGauef25tvImk6VUu-uv8yUQCwvo/edit" TargetMode="External"/><Relationship Id="rId2" Type="http://schemas.openxmlformats.org/officeDocument/2006/relationships/hyperlink" Target="https://docs.google.com/spreadsheets/u/0/d/1iKWqBeXJAt9aGhKA6jlenFDMVmaEbZjw6hpFXGp0yR8/edit" TargetMode="External"/><Relationship Id="rId3" Type="http://schemas.openxmlformats.org/officeDocument/2006/relationships/hyperlink" Target="https://docs.google.com/presentation/u/0/d/1LJvZcyFPVmWK20rdGauef25tvImk6VUu-uv8yUQCwvo/edit" TargetMode="External"/><Relationship Id="rId4" Type="http://schemas.openxmlformats.org/officeDocument/2006/relationships/hyperlink" Target="https://docs.google.com/presentation/u/0/d/1LJvZcyFPVmWK20rdGauef25tvImk6VUu-uv8yUQCwvo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8" max="8" width="1.38"/>
    <col customWidth="1" min="9" max="9" width="29.0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  <c r="I2" s="2"/>
      <c r="J2" s="2"/>
    </row>
    <row r="3" ht="5.25" customHeight="1"/>
    <row r="4">
      <c r="B4" s="3" t="s">
        <v>1</v>
      </c>
      <c r="C4" s="4"/>
      <c r="D4" s="4"/>
      <c r="E4" s="4"/>
      <c r="F4" s="4"/>
      <c r="G4" s="5"/>
      <c r="H4" s="6"/>
      <c r="I4" s="7" t="s">
        <v>2</v>
      </c>
      <c r="J4" s="5"/>
    </row>
    <row r="5" ht="27.0" customHeight="1">
      <c r="B5" s="8" t="s">
        <v>3</v>
      </c>
      <c r="C5" s="9"/>
      <c r="D5" s="9"/>
      <c r="E5" s="9"/>
      <c r="F5" s="9"/>
      <c r="G5" s="10"/>
      <c r="I5" s="11" t="s">
        <v>4</v>
      </c>
      <c r="J5" s="12" t="s">
        <v>5</v>
      </c>
      <c r="M5" s="13"/>
    </row>
    <row r="6" ht="27.0" customHeight="1">
      <c r="B6" s="14"/>
      <c r="G6" s="15"/>
      <c r="I6" s="16" t="s">
        <v>6</v>
      </c>
      <c r="J6" s="17"/>
      <c r="M6" s="18"/>
    </row>
    <row r="7" ht="27.0" customHeight="1">
      <c r="B7" s="14"/>
      <c r="G7" s="15"/>
      <c r="I7" s="16" t="s">
        <v>7</v>
      </c>
      <c r="J7" s="19"/>
      <c r="M7" s="18"/>
    </row>
    <row r="8" ht="27.0" customHeight="1">
      <c r="B8" s="14"/>
      <c r="G8" s="15"/>
      <c r="I8" s="16" t="s">
        <v>8</v>
      </c>
      <c r="J8" s="20"/>
      <c r="M8" s="18"/>
    </row>
    <row r="9" ht="27.0" customHeight="1">
      <c r="B9" s="14"/>
      <c r="G9" s="15"/>
      <c r="I9" s="21" t="s">
        <v>9</v>
      </c>
      <c r="J9" s="22"/>
      <c r="M9" s="18"/>
    </row>
    <row r="10" ht="27.0" customHeight="1">
      <c r="B10" s="14"/>
      <c r="G10" s="15"/>
      <c r="M10" s="18"/>
    </row>
    <row r="11" ht="27.0" customHeight="1">
      <c r="B11" s="14"/>
      <c r="G11" s="15"/>
      <c r="M11" s="13"/>
    </row>
    <row r="12" ht="27.0" customHeight="1">
      <c r="B12" s="23"/>
      <c r="C12" s="24"/>
      <c r="D12" s="24"/>
      <c r="E12" s="24"/>
      <c r="F12" s="24"/>
      <c r="G12" s="25"/>
      <c r="M12" s="18"/>
    </row>
    <row r="13" ht="5.25" customHeight="1"/>
    <row r="14" ht="27.75" customHeight="1">
      <c r="B14" s="3" t="s">
        <v>10</v>
      </c>
      <c r="C14" s="4"/>
      <c r="D14" s="4"/>
      <c r="E14" s="4"/>
      <c r="F14" s="4"/>
      <c r="G14" s="5"/>
      <c r="I14" s="7" t="s">
        <v>2</v>
      </c>
      <c r="J14" s="5"/>
      <c r="M14" s="18"/>
    </row>
    <row r="15" ht="27.75" customHeight="1">
      <c r="B15" s="8" t="s">
        <v>11</v>
      </c>
      <c r="C15" s="9"/>
      <c r="D15" s="9"/>
      <c r="E15" s="9"/>
      <c r="F15" s="9"/>
      <c r="G15" s="10"/>
      <c r="I15" s="11" t="s">
        <v>12</v>
      </c>
      <c r="J15" s="12" t="s">
        <v>5</v>
      </c>
      <c r="M15" s="18"/>
    </row>
    <row r="16" ht="27.75" customHeight="1">
      <c r="B16" s="14"/>
      <c r="G16" s="15"/>
      <c r="I16" s="26" t="s">
        <v>13</v>
      </c>
      <c r="J16" s="27" t="s">
        <v>14</v>
      </c>
      <c r="M16" s="18"/>
    </row>
    <row r="17" ht="27.75" customHeight="1">
      <c r="B17" s="14"/>
      <c r="G17" s="15"/>
      <c r="I17" s="28" t="s">
        <v>15</v>
      </c>
      <c r="J17" s="29" t="s">
        <v>16</v>
      </c>
      <c r="M17" s="18"/>
    </row>
    <row r="18" ht="27.75" customHeight="1">
      <c r="B18" s="14"/>
      <c r="G18" s="15"/>
      <c r="I18" s="16" t="s">
        <v>17</v>
      </c>
      <c r="J18" s="30" t="s">
        <v>18</v>
      </c>
      <c r="M18" s="18"/>
    </row>
    <row r="19" ht="27.75" customHeight="1">
      <c r="B19" s="14"/>
      <c r="G19" s="15"/>
      <c r="I19" s="31" t="s">
        <v>19</v>
      </c>
      <c r="J19" s="32" t="s">
        <v>20</v>
      </c>
      <c r="M19" s="18"/>
    </row>
    <row r="20" ht="27.75" customHeight="1">
      <c r="B20" s="14"/>
      <c r="G20" s="15"/>
      <c r="I20" s="33"/>
      <c r="J20" s="34"/>
      <c r="M20" s="35"/>
    </row>
    <row r="21" ht="27.75" customHeight="1">
      <c r="B21" s="14"/>
      <c r="G21" s="15"/>
      <c r="M21" s="13"/>
    </row>
    <row r="22" ht="27.75" customHeight="1">
      <c r="B22" s="14"/>
      <c r="G22" s="15"/>
      <c r="M22" s="18"/>
    </row>
    <row r="23" ht="27.75" customHeight="1">
      <c r="B23" s="14"/>
      <c r="G23" s="15"/>
      <c r="M23" s="18"/>
    </row>
    <row r="24" ht="27.75" customHeight="1">
      <c r="B24" s="14"/>
      <c r="G24" s="15"/>
      <c r="M24" s="18"/>
    </row>
    <row r="25" ht="27.75" customHeight="1">
      <c r="B25" s="23"/>
      <c r="C25" s="24"/>
      <c r="D25" s="24"/>
      <c r="E25" s="24"/>
      <c r="F25" s="24"/>
      <c r="G25" s="25"/>
      <c r="M25" s="18"/>
    </row>
    <row r="26">
      <c r="M26" s="18"/>
    </row>
    <row r="27">
      <c r="B27" s="3" t="s">
        <v>21</v>
      </c>
      <c r="C27" s="4"/>
      <c r="D27" s="4"/>
      <c r="E27" s="4"/>
      <c r="F27" s="4"/>
      <c r="G27" s="5"/>
      <c r="I27" s="7" t="s">
        <v>2</v>
      </c>
      <c r="J27" s="5"/>
      <c r="M27" s="18"/>
    </row>
    <row r="28">
      <c r="B28" s="36" t="s">
        <v>22</v>
      </c>
      <c r="C28" s="9"/>
      <c r="D28" s="9"/>
      <c r="E28" s="9"/>
      <c r="F28" s="9"/>
      <c r="G28" s="10"/>
      <c r="I28" s="11" t="s">
        <v>12</v>
      </c>
      <c r="J28" s="12" t="s">
        <v>5</v>
      </c>
      <c r="M28" s="18"/>
    </row>
    <row r="29">
      <c r="B29" s="14"/>
      <c r="G29" s="15"/>
      <c r="I29" s="26" t="s">
        <v>13</v>
      </c>
      <c r="J29" s="27" t="s">
        <v>14</v>
      </c>
      <c r="M29" s="18"/>
    </row>
    <row r="30">
      <c r="B30" s="14"/>
      <c r="G30" s="15"/>
      <c r="I30" s="28" t="s">
        <v>15</v>
      </c>
      <c r="J30" s="29" t="s">
        <v>16</v>
      </c>
      <c r="M30" s="18"/>
    </row>
    <row r="31">
      <c r="B31" s="14"/>
      <c r="G31" s="15"/>
      <c r="I31" s="16" t="s">
        <v>17</v>
      </c>
      <c r="J31" s="30" t="s">
        <v>18</v>
      </c>
      <c r="M31" s="35"/>
    </row>
    <row r="32">
      <c r="B32" s="14"/>
      <c r="G32" s="15"/>
      <c r="I32" s="37" t="s">
        <v>19</v>
      </c>
      <c r="J32" s="38" t="s">
        <v>20</v>
      </c>
      <c r="M32" s="13"/>
    </row>
    <row r="33">
      <c r="B33" s="14"/>
      <c r="G33" s="15"/>
      <c r="M33" s="18"/>
    </row>
    <row r="34">
      <c r="B34" s="14"/>
      <c r="G34" s="15"/>
      <c r="M34" s="35"/>
    </row>
    <row r="35">
      <c r="B35" s="14"/>
      <c r="G35" s="15"/>
      <c r="M35" s="39"/>
    </row>
    <row r="36">
      <c r="B36" s="14"/>
      <c r="G36" s="15"/>
      <c r="M36" s="18"/>
    </row>
    <row r="37">
      <c r="B37" s="14"/>
      <c r="G37" s="15"/>
      <c r="M37" s="35"/>
    </row>
    <row r="38">
      <c r="B38" s="23"/>
      <c r="C38" s="24"/>
      <c r="D38" s="24"/>
      <c r="E38" s="24"/>
      <c r="F38" s="24"/>
      <c r="G38" s="25"/>
      <c r="M38" s="13"/>
    </row>
    <row r="39">
      <c r="M39" s="13"/>
    </row>
    <row r="40">
      <c r="M40" s="18"/>
    </row>
    <row r="41">
      <c r="M41" s="35"/>
    </row>
    <row r="42">
      <c r="M42" s="13"/>
    </row>
    <row r="43">
      <c r="M43" s="18"/>
    </row>
  </sheetData>
  <mergeCells count="10">
    <mergeCell ref="B27:G27"/>
    <mergeCell ref="I27:J27"/>
    <mergeCell ref="B28:G38"/>
    <mergeCell ref="B2:J2"/>
    <mergeCell ref="B4:G4"/>
    <mergeCell ref="I4:J4"/>
    <mergeCell ref="B5:G12"/>
    <mergeCell ref="B14:G14"/>
    <mergeCell ref="I14:J14"/>
    <mergeCell ref="B15:G25"/>
  </mergeCells>
  <hyperlinks>
    <hyperlink r:id="rId1" ref="B5"/>
    <hyperlink r:id="rId2" ref="B15"/>
    <hyperlink r:id="rId3" ref="I19"/>
    <hyperlink r:id="rId4" ref="I3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4" width="30.25"/>
    <col customWidth="1" min="5" max="5" width="18.25"/>
    <col customWidth="1" min="6" max="6" width="16.88"/>
    <col customWidth="1" min="7" max="7" width="20.13"/>
    <col customWidth="1" min="9" max="9" width="18.38"/>
  </cols>
  <sheetData>
    <row r="1">
      <c r="D1" s="40"/>
    </row>
    <row r="2">
      <c r="B2" s="41"/>
      <c r="C2" s="41"/>
      <c r="D2" s="42" t="s">
        <v>23</v>
      </c>
      <c r="E2" s="43"/>
      <c r="F2" s="42" t="s">
        <v>24</v>
      </c>
      <c r="G2" s="43"/>
      <c r="H2" s="42" t="s">
        <v>25</v>
      </c>
      <c r="I2" s="43"/>
      <c r="J2" s="42" t="s">
        <v>26</v>
      </c>
      <c r="K2" s="43"/>
      <c r="N2" s="44" t="s">
        <v>27</v>
      </c>
      <c r="O2" s="45"/>
      <c r="P2" s="45"/>
      <c r="Q2" s="45"/>
      <c r="R2" s="43"/>
    </row>
    <row r="3">
      <c r="B3" s="46" t="s">
        <v>28</v>
      </c>
      <c r="C3" s="46" t="s">
        <v>29</v>
      </c>
      <c r="D3" s="47" t="s">
        <v>30</v>
      </c>
      <c r="E3" s="48" t="s">
        <v>31</v>
      </c>
      <c r="F3" s="47" t="s">
        <v>32</v>
      </c>
      <c r="G3" s="48" t="s">
        <v>33</v>
      </c>
      <c r="H3" s="47" t="s">
        <v>30</v>
      </c>
      <c r="I3" s="48" t="s">
        <v>31</v>
      </c>
      <c r="J3" s="49" t="s">
        <v>34</v>
      </c>
      <c r="K3" s="49" t="s">
        <v>35</v>
      </c>
      <c r="M3" s="48" t="s">
        <v>36</v>
      </c>
      <c r="N3" s="48" t="s">
        <v>6</v>
      </c>
      <c r="O3" s="48" t="s">
        <v>37</v>
      </c>
      <c r="P3" s="48" t="s">
        <v>38</v>
      </c>
      <c r="Q3" s="48" t="s">
        <v>9</v>
      </c>
      <c r="R3" s="48" t="s">
        <v>39</v>
      </c>
      <c r="S3" s="50"/>
    </row>
    <row r="4">
      <c r="B4" s="51" t="s">
        <v>40</v>
      </c>
      <c r="C4" s="52">
        <v>0.35</v>
      </c>
      <c r="D4" s="52">
        <v>0.03</v>
      </c>
      <c r="E4" s="52">
        <v>0.05</v>
      </c>
      <c r="F4" s="53">
        <v>0.018</v>
      </c>
      <c r="G4" s="53">
        <v>0.04</v>
      </c>
      <c r="H4" s="52">
        <v>0.01</v>
      </c>
      <c r="I4" s="52">
        <v>0.03</v>
      </c>
      <c r="J4" s="52">
        <v>0.2</v>
      </c>
      <c r="K4" s="52">
        <v>0.8</v>
      </c>
      <c r="M4" s="54" t="s">
        <v>41</v>
      </c>
      <c r="N4" s="51">
        <v>1350.0</v>
      </c>
      <c r="O4" s="51">
        <v>1500.0</v>
      </c>
      <c r="P4" s="51">
        <v>3000.0</v>
      </c>
      <c r="Q4" s="51">
        <v>1800.0</v>
      </c>
      <c r="R4" s="51">
        <v>2400.0</v>
      </c>
    </row>
    <row r="5">
      <c r="B5" s="51" t="s">
        <v>42</v>
      </c>
      <c r="C5" s="52">
        <v>0.05</v>
      </c>
      <c r="D5" s="52">
        <v>0.03</v>
      </c>
      <c r="E5" s="52">
        <v>0.05</v>
      </c>
      <c r="F5" s="53">
        <v>0.02</v>
      </c>
      <c r="G5" s="53">
        <v>0.055</v>
      </c>
      <c r="H5" s="52">
        <v>0.01</v>
      </c>
      <c r="I5" s="52">
        <v>0.05</v>
      </c>
      <c r="J5" s="52">
        <v>0.25</v>
      </c>
      <c r="K5" s="52">
        <v>0.85</v>
      </c>
      <c r="M5" s="54" t="s">
        <v>43</v>
      </c>
      <c r="N5" s="51">
        <v>6300.0</v>
      </c>
      <c r="O5" s="51">
        <v>7000.0</v>
      </c>
      <c r="P5" s="51">
        <v>14000.0</v>
      </c>
      <c r="Q5" s="51">
        <v>8400.0</v>
      </c>
      <c r="R5" s="51">
        <v>11200.0</v>
      </c>
    </row>
    <row r="6">
      <c r="B6" s="51" t="s">
        <v>44</v>
      </c>
      <c r="C6" s="52">
        <v>0.6</v>
      </c>
      <c r="D6" s="52">
        <v>0.01</v>
      </c>
      <c r="E6" s="52">
        <v>0.03</v>
      </c>
      <c r="F6" s="53">
        <v>0.015</v>
      </c>
      <c r="G6" s="53">
        <v>0.035</v>
      </c>
      <c r="H6" s="52">
        <v>0.2</v>
      </c>
      <c r="I6" s="52">
        <v>0.4</v>
      </c>
      <c r="J6" s="52">
        <v>0.1</v>
      </c>
      <c r="K6" s="52">
        <v>0.7</v>
      </c>
      <c r="M6" s="54" t="s">
        <v>45</v>
      </c>
      <c r="N6" s="51">
        <v>1350.0</v>
      </c>
      <c r="O6" s="51">
        <v>1500.0</v>
      </c>
      <c r="P6" s="51">
        <v>3000.0</v>
      </c>
      <c r="Q6" s="51">
        <v>1800.0</v>
      </c>
      <c r="R6" s="51">
        <v>2400.0</v>
      </c>
    </row>
    <row r="7">
      <c r="B7" s="51" t="s">
        <v>46</v>
      </c>
      <c r="C7" s="52">
        <v>0.4</v>
      </c>
      <c r="D7" s="52">
        <v>0.02</v>
      </c>
      <c r="E7" s="52">
        <v>0.05</v>
      </c>
      <c r="F7" s="53">
        <v>0.018</v>
      </c>
      <c r="G7" s="53">
        <v>0.04</v>
      </c>
      <c r="H7" s="52">
        <v>0.15</v>
      </c>
      <c r="I7" s="52">
        <v>0.3</v>
      </c>
      <c r="J7" s="52">
        <v>0.15</v>
      </c>
      <c r="K7" s="52">
        <v>0.75</v>
      </c>
      <c r="M7" s="54" t="s">
        <v>47</v>
      </c>
      <c r="N7" s="51">
        <v>810.0</v>
      </c>
      <c r="O7" s="51">
        <v>900.0</v>
      </c>
      <c r="P7" s="51">
        <v>1800.0</v>
      </c>
      <c r="Q7" s="51">
        <v>1080.0</v>
      </c>
      <c r="R7" s="51">
        <v>1440.0</v>
      </c>
    </row>
    <row r="8">
      <c r="B8" s="51" t="s">
        <v>48</v>
      </c>
      <c r="C8" s="52">
        <v>0.1</v>
      </c>
      <c r="D8" s="52">
        <v>0.05</v>
      </c>
      <c r="E8" s="52">
        <v>0.1</v>
      </c>
      <c r="F8" s="53">
        <v>0.025</v>
      </c>
      <c r="G8" s="53">
        <v>0.05</v>
      </c>
      <c r="H8" s="52">
        <v>0.1</v>
      </c>
      <c r="I8" s="52">
        <v>0.25</v>
      </c>
      <c r="J8" s="52">
        <v>0.18</v>
      </c>
      <c r="K8" s="52">
        <v>0.8</v>
      </c>
      <c r="M8" s="54" t="s">
        <v>49</v>
      </c>
      <c r="N8" s="51">
        <v>900.0</v>
      </c>
      <c r="O8" s="51">
        <v>1000.0</v>
      </c>
      <c r="P8" s="51">
        <v>2000.0</v>
      </c>
      <c r="Q8" s="51">
        <v>1200.0</v>
      </c>
      <c r="R8" s="51">
        <v>1600.0</v>
      </c>
    </row>
    <row r="9">
      <c r="B9" s="51" t="s">
        <v>50</v>
      </c>
      <c r="C9" s="52">
        <v>0.08</v>
      </c>
      <c r="D9" s="52">
        <v>0.03</v>
      </c>
      <c r="E9" s="52">
        <v>0.05</v>
      </c>
      <c r="F9" s="53">
        <v>0.017</v>
      </c>
      <c r="G9" s="53">
        <v>0.038</v>
      </c>
      <c r="H9" s="52">
        <v>0.1</v>
      </c>
      <c r="I9" s="52">
        <v>0.15</v>
      </c>
      <c r="J9" s="52">
        <v>0.22</v>
      </c>
      <c r="K9" s="52">
        <v>0.85</v>
      </c>
      <c r="M9" s="54" t="s">
        <v>51</v>
      </c>
      <c r="N9" s="51">
        <v>675.0</v>
      </c>
      <c r="O9" s="51">
        <v>750.0</v>
      </c>
      <c r="P9" s="51">
        <v>1500.0</v>
      </c>
      <c r="Q9" s="51">
        <v>900.0</v>
      </c>
      <c r="R9" s="51">
        <v>1200.0</v>
      </c>
    </row>
    <row r="10">
      <c r="B10" s="51" t="s">
        <v>52</v>
      </c>
      <c r="C10" s="52">
        <v>0.15</v>
      </c>
      <c r="D10" s="52">
        <v>0.03</v>
      </c>
      <c r="E10" s="52">
        <v>0.05</v>
      </c>
      <c r="F10" s="53">
        <v>0.019</v>
      </c>
      <c r="G10" s="53">
        <v>0.042</v>
      </c>
      <c r="H10" s="52">
        <v>0.1</v>
      </c>
      <c r="I10" s="52">
        <v>0.2</v>
      </c>
      <c r="J10" s="52">
        <v>0.2</v>
      </c>
      <c r="K10" s="52">
        <v>0.8</v>
      </c>
      <c r="M10" s="54" t="s">
        <v>53</v>
      </c>
      <c r="N10" s="51">
        <v>1575.0</v>
      </c>
      <c r="O10" s="51">
        <v>1750.0</v>
      </c>
      <c r="P10" s="51">
        <v>3500.0</v>
      </c>
      <c r="Q10" s="51">
        <v>2100.0</v>
      </c>
      <c r="R10" s="51">
        <v>2800.0</v>
      </c>
    </row>
    <row r="11">
      <c r="B11" s="51" t="s">
        <v>54</v>
      </c>
      <c r="C11" s="52">
        <v>0.15</v>
      </c>
      <c r="D11" s="52">
        <v>0.01</v>
      </c>
      <c r="E11" s="52">
        <v>0.03</v>
      </c>
      <c r="F11" s="53">
        <v>0.015</v>
      </c>
      <c r="G11" s="53">
        <v>0.03</v>
      </c>
      <c r="H11" s="53">
        <v>0.005</v>
      </c>
      <c r="I11" s="52">
        <v>0.02</v>
      </c>
      <c r="J11" s="52">
        <v>0.3</v>
      </c>
      <c r="K11" s="52">
        <v>0.9</v>
      </c>
    </row>
    <row r="12">
      <c r="B12" s="51" t="s">
        <v>55</v>
      </c>
      <c r="C12" s="52">
        <v>0.4</v>
      </c>
      <c r="D12" s="52">
        <v>0.02</v>
      </c>
      <c r="E12" s="52">
        <v>0.05</v>
      </c>
      <c r="F12" s="53">
        <v>0.022</v>
      </c>
      <c r="G12" s="53">
        <v>0.045</v>
      </c>
      <c r="H12" s="53">
        <v>0.003</v>
      </c>
      <c r="I12" s="53">
        <v>0.015</v>
      </c>
      <c r="J12" s="52">
        <v>0.25</v>
      </c>
      <c r="K12" s="52">
        <v>0.85</v>
      </c>
    </row>
    <row r="13">
      <c r="B13" s="51" t="s">
        <v>56</v>
      </c>
      <c r="C13" s="52">
        <v>0.15</v>
      </c>
      <c r="D13" s="52">
        <v>0.02</v>
      </c>
      <c r="E13" s="52">
        <v>0.04</v>
      </c>
      <c r="F13" s="53">
        <v>0.016</v>
      </c>
      <c r="G13" s="53">
        <v>0.035</v>
      </c>
      <c r="H13" s="52">
        <v>0.01</v>
      </c>
      <c r="I13" s="52">
        <v>0.03</v>
      </c>
      <c r="J13" s="52">
        <v>0.2</v>
      </c>
      <c r="K13" s="52">
        <v>0.8</v>
      </c>
    </row>
    <row r="14">
      <c r="B14" s="51" t="s">
        <v>57</v>
      </c>
      <c r="C14" s="52">
        <v>0.08</v>
      </c>
      <c r="D14" s="52">
        <v>0.03</v>
      </c>
      <c r="E14" s="52">
        <v>0.06</v>
      </c>
      <c r="F14" s="53">
        <v>0.035</v>
      </c>
      <c r="G14" s="53">
        <v>0.07</v>
      </c>
      <c r="H14" s="52">
        <v>0.2</v>
      </c>
      <c r="I14" s="52">
        <v>0.4</v>
      </c>
      <c r="J14" s="52">
        <v>0.12</v>
      </c>
      <c r="K14" s="52">
        <v>0.7</v>
      </c>
    </row>
    <row r="15">
      <c r="B15" s="51" t="s">
        <v>58</v>
      </c>
      <c r="C15" s="52">
        <v>0.6</v>
      </c>
      <c r="D15" s="52">
        <v>0.02</v>
      </c>
      <c r="E15" s="52">
        <v>0.05</v>
      </c>
      <c r="F15" s="53">
        <v>0.032</v>
      </c>
      <c r="G15" s="53">
        <v>0.065</v>
      </c>
      <c r="H15" s="53">
        <v>0.001</v>
      </c>
      <c r="I15" s="52">
        <v>0.02</v>
      </c>
      <c r="J15" s="52">
        <v>0.15</v>
      </c>
      <c r="K15" s="52">
        <v>0.75</v>
      </c>
    </row>
    <row r="16">
      <c r="B16" s="51" t="s">
        <v>59</v>
      </c>
      <c r="C16" s="52">
        <v>0.08</v>
      </c>
      <c r="D16" s="52">
        <v>0.03</v>
      </c>
      <c r="E16" s="52">
        <v>0.06</v>
      </c>
      <c r="F16" s="53">
        <v>0.028</v>
      </c>
      <c r="G16" s="53">
        <v>0.06</v>
      </c>
      <c r="H16" s="52">
        <v>0.2</v>
      </c>
      <c r="I16" s="52">
        <v>0.3</v>
      </c>
      <c r="J16" s="52">
        <v>0.1</v>
      </c>
      <c r="K16" s="52">
        <v>0.7</v>
      </c>
    </row>
    <row r="17">
      <c r="B17" s="51" t="s">
        <v>60</v>
      </c>
      <c r="C17" s="52">
        <v>0.4</v>
      </c>
      <c r="D17" s="52">
        <v>0.02</v>
      </c>
      <c r="E17" s="52">
        <v>0.04</v>
      </c>
      <c r="F17" s="53">
        <v>0.035</v>
      </c>
      <c r="G17" s="53">
        <v>0.075</v>
      </c>
      <c r="H17" s="52">
        <v>0.05</v>
      </c>
      <c r="I17" s="52">
        <v>0.15</v>
      </c>
      <c r="J17" s="52">
        <v>0.18</v>
      </c>
      <c r="K17" s="52">
        <v>0.8</v>
      </c>
    </row>
    <row r="18">
      <c r="B18" s="51" t="s">
        <v>61</v>
      </c>
      <c r="C18" s="52">
        <v>0.4</v>
      </c>
      <c r="D18" s="52">
        <v>0.03</v>
      </c>
      <c r="E18" s="52">
        <v>0.06</v>
      </c>
      <c r="F18" s="53">
        <v>0.028</v>
      </c>
      <c r="G18" s="53">
        <v>0.05</v>
      </c>
      <c r="H18" s="52">
        <v>0.2</v>
      </c>
      <c r="I18" s="52">
        <v>0.3</v>
      </c>
      <c r="J18" s="52">
        <v>0.2</v>
      </c>
      <c r="K18" s="52">
        <v>0.85</v>
      </c>
    </row>
    <row r="19">
      <c r="B19" s="51" t="s">
        <v>62</v>
      </c>
      <c r="C19" s="52">
        <v>0.6</v>
      </c>
      <c r="D19" s="52">
        <v>0.01</v>
      </c>
      <c r="E19" s="52">
        <v>0.03</v>
      </c>
      <c r="F19" s="53">
        <v>0.025</v>
      </c>
      <c r="G19" s="53">
        <v>0.05</v>
      </c>
      <c r="H19" s="53">
        <v>0.005</v>
      </c>
      <c r="I19" s="52">
        <v>0.02</v>
      </c>
      <c r="J19" s="52">
        <v>0.25</v>
      </c>
      <c r="K19" s="52">
        <v>0.9</v>
      </c>
    </row>
    <row r="20">
      <c r="B20" s="51" t="s">
        <v>63</v>
      </c>
      <c r="C20" s="52">
        <v>0.05</v>
      </c>
      <c r="D20" s="52">
        <v>0.05</v>
      </c>
      <c r="E20" s="52">
        <v>0.1</v>
      </c>
      <c r="F20" s="53">
        <v>0.025</v>
      </c>
      <c r="G20" s="53">
        <v>0.055</v>
      </c>
      <c r="H20" s="52">
        <v>0.02</v>
      </c>
      <c r="I20" s="52">
        <v>0.04</v>
      </c>
      <c r="J20" s="52">
        <v>0.22</v>
      </c>
      <c r="K20" s="52">
        <v>0.85</v>
      </c>
    </row>
    <row r="21">
      <c r="B21" s="51" t="s">
        <v>64</v>
      </c>
      <c r="C21" s="52">
        <v>0.1</v>
      </c>
      <c r="D21" s="52">
        <v>0.04</v>
      </c>
      <c r="E21" s="52">
        <v>0.08</v>
      </c>
      <c r="F21" s="53">
        <v>0.02</v>
      </c>
      <c r="G21" s="53">
        <v>0.042</v>
      </c>
      <c r="H21" s="52">
        <v>0.05</v>
      </c>
      <c r="I21" s="52">
        <v>0.1</v>
      </c>
      <c r="J21" s="52">
        <v>0.2</v>
      </c>
      <c r="K21" s="52">
        <v>0.8</v>
      </c>
    </row>
    <row r="22">
      <c r="B22" s="51" t="s">
        <v>65</v>
      </c>
      <c r="C22" s="52">
        <v>0.15</v>
      </c>
      <c r="D22" s="52">
        <v>0.03</v>
      </c>
      <c r="E22" s="52">
        <v>0.06</v>
      </c>
      <c r="F22" s="53">
        <v>0.022</v>
      </c>
      <c r="G22" s="53">
        <v>0.048</v>
      </c>
      <c r="H22" s="52">
        <v>0.1</v>
      </c>
      <c r="I22" s="52">
        <v>0.15</v>
      </c>
      <c r="J22" s="52">
        <v>0.18</v>
      </c>
      <c r="K22" s="52">
        <v>0.8</v>
      </c>
    </row>
    <row r="23">
      <c r="B23" s="51" t="s">
        <v>66</v>
      </c>
      <c r="C23" s="52">
        <v>0.2</v>
      </c>
      <c r="D23" s="52">
        <v>0.02</v>
      </c>
      <c r="E23" s="52">
        <v>0.05</v>
      </c>
      <c r="F23" s="53">
        <v>0.02</v>
      </c>
      <c r="G23" s="53">
        <v>0.042</v>
      </c>
      <c r="H23" s="52">
        <v>0.1</v>
      </c>
      <c r="I23" s="52">
        <v>0.2</v>
      </c>
      <c r="J23" s="52">
        <v>0.2</v>
      </c>
      <c r="K23" s="52">
        <v>0.85</v>
      </c>
    </row>
    <row r="24">
      <c r="B24" s="51" t="s">
        <v>67</v>
      </c>
      <c r="C24" s="52">
        <v>0.1</v>
      </c>
      <c r="D24" s="52">
        <v>0.03</v>
      </c>
      <c r="E24" s="52">
        <v>0.06</v>
      </c>
      <c r="F24" s="53">
        <v>0.025</v>
      </c>
      <c r="G24" s="53">
        <v>0.052</v>
      </c>
      <c r="H24" s="52">
        <v>0.2</v>
      </c>
      <c r="I24" s="52">
        <v>0.3</v>
      </c>
      <c r="J24" s="52">
        <v>0.15</v>
      </c>
      <c r="K24" s="52">
        <v>0.8</v>
      </c>
    </row>
    <row r="25">
      <c r="B25" s="51" t="s">
        <v>68</v>
      </c>
      <c r="C25" s="52">
        <v>0.15</v>
      </c>
      <c r="D25" s="52">
        <v>0.03</v>
      </c>
      <c r="E25" s="52">
        <v>0.06</v>
      </c>
      <c r="F25" s="53">
        <v>0.028</v>
      </c>
      <c r="G25" s="53">
        <v>0.06</v>
      </c>
      <c r="H25" s="52">
        <v>0.1</v>
      </c>
      <c r="I25" s="52">
        <v>0.25</v>
      </c>
      <c r="J25" s="52">
        <v>0.22</v>
      </c>
      <c r="K25" s="52">
        <v>0.9</v>
      </c>
    </row>
    <row r="26">
      <c r="B26" s="51" t="s">
        <v>69</v>
      </c>
      <c r="C26" s="52">
        <v>0.3</v>
      </c>
      <c r="D26" s="52">
        <v>0.02</v>
      </c>
      <c r="E26" s="52">
        <v>0.04</v>
      </c>
      <c r="F26" s="53">
        <v>0.016</v>
      </c>
      <c r="G26" s="53">
        <v>0.038</v>
      </c>
      <c r="H26" s="52">
        <v>0.3</v>
      </c>
      <c r="I26" s="52">
        <v>0.6</v>
      </c>
      <c r="J26" s="52">
        <v>0.25</v>
      </c>
      <c r="K26" s="52">
        <v>0.85</v>
      </c>
    </row>
    <row r="27">
      <c r="B27" s="51" t="s">
        <v>70</v>
      </c>
      <c r="C27" s="52">
        <v>0.15</v>
      </c>
      <c r="D27" s="52">
        <v>0.02</v>
      </c>
      <c r="E27" s="52">
        <v>0.04</v>
      </c>
      <c r="F27" s="53">
        <v>0.02</v>
      </c>
      <c r="G27" s="53">
        <v>0.045</v>
      </c>
      <c r="H27" s="52">
        <v>0.3</v>
      </c>
      <c r="I27" s="52">
        <v>0.5</v>
      </c>
      <c r="J27" s="52">
        <v>0.22</v>
      </c>
      <c r="K27" s="52">
        <v>0.8</v>
      </c>
    </row>
    <row r="28">
      <c r="B28" s="51" t="s">
        <v>71</v>
      </c>
      <c r="C28" s="52">
        <v>0.1</v>
      </c>
      <c r="D28" s="52">
        <v>0.02</v>
      </c>
      <c r="E28" s="52">
        <v>0.05</v>
      </c>
      <c r="F28" s="53">
        <v>0.017</v>
      </c>
      <c r="G28" s="53">
        <v>0.04</v>
      </c>
      <c r="H28" s="52">
        <v>0.25</v>
      </c>
      <c r="I28" s="52">
        <v>0.45</v>
      </c>
      <c r="J28" s="52">
        <v>0.3</v>
      </c>
      <c r="K28" s="52">
        <v>0.9</v>
      </c>
    </row>
    <row r="29">
      <c r="B29" s="51" t="s">
        <v>72</v>
      </c>
      <c r="C29" s="52">
        <v>0.7</v>
      </c>
      <c r="D29" s="52">
        <v>0.01</v>
      </c>
      <c r="E29" s="52">
        <v>0.03</v>
      </c>
      <c r="F29" s="53">
        <v>0.018</v>
      </c>
      <c r="G29" s="53">
        <v>0.042</v>
      </c>
      <c r="H29" s="52">
        <v>0.4</v>
      </c>
      <c r="I29" s="52">
        <v>0.7</v>
      </c>
      <c r="J29" s="52">
        <v>0.1</v>
      </c>
      <c r="K29" s="52">
        <v>0.6</v>
      </c>
    </row>
    <row r="30">
      <c r="B30" s="51" t="s">
        <v>73</v>
      </c>
      <c r="C30" s="52">
        <v>0.25</v>
      </c>
      <c r="D30" s="52">
        <v>0.05</v>
      </c>
      <c r="E30" s="52">
        <v>0.1</v>
      </c>
      <c r="F30" s="53">
        <v>0.025</v>
      </c>
      <c r="G30" s="53">
        <v>0.055</v>
      </c>
      <c r="H30" s="52">
        <v>0.05</v>
      </c>
      <c r="I30" s="52">
        <v>0.25</v>
      </c>
      <c r="J30" s="52">
        <v>0.2</v>
      </c>
      <c r="K30" s="52">
        <v>0.8</v>
      </c>
    </row>
    <row r="31">
      <c r="B31" s="51" t="s">
        <v>74</v>
      </c>
      <c r="C31" s="52">
        <v>0.15</v>
      </c>
      <c r="D31" s="52">
        <v>0.03</v>
      </c>
      <c r="E31" s="52">
        <v>0.05</v>
      </c>
      <c r="F31" s="53">
        <v>0.018</v>
      </c>
      <c r="G31" s="53">
        <v>0.042</v>
      </c>
      <c r="H31" s="52">
        <v>0.2</v>
      </c>
      <c r="I31" s="52">
        <v>0.5</v>
      </c>
      <c r="J31" s="52">
        <v>0.22</v>
      </c>
      <c r="K31" s="52">
        <v>0.85</v>
      </c>
    </row>
    <row r="32">
      <c r="B32" s="51" t="s">
        <v>75</v>
      </c>
      <c r="C32" s="52">
        <v>0.7</v>
      </c>
      <c r="D32" s="52">
        <v>0.01</v>
      </c>
      <c r="E32" s="52">
        <v>0.03</v>
      </c>
      <c r="F32" s="53">
        <v>0.015</v>
      </c>
      <c r="G32" s="53">
        <v>0.035</v>
      </c>
      <c r="H32" s="52">
        <v>0.4</v>
      </c>
      <c r="I32" s="52">
        <v>0.8</v>
      </c>
      <c r="J32" s="52">
        <v>0.15</v>
      </c>
      <c r="K32" s="52">
        <v>0.75</v>
      </c>
    </row>
    <row r="33">
      <c r="B33" s="51" t="s">
        <v>76</v>
      </c>
      <c r="C33" s="52">
        <v>0.7</v>
      </c>
      <c r="D33" s="52">
        <v>0.01</v>
      </c>
      <c r="E33" s="52">
        <v>0.03</v>
      </c>
      <c r="F33" s="53">
        <v>0.017</v>
      </c>
      <c r="G33" s="53">
        <v>0.04</v>
      </c>
      <c r="H33" s="52">
        <v>0.3</v>
      </c>
      <c r="I33" s="52">
        <v>0.7</v>
      </c>
      <c r="J33" s="52">
        <v>0.18</v>
      </c>
      <c r="K33" s="52">
        <v>0.8</v>
      </c>
    </row>
    <row r="34">
      <c r="B34" s="51" t="s">
        <v>77</v>
      </c>
      <c r="C34" s="52">
        <v>0.4</v>
      </c>
      <c r="D34" s="52">
        <v>0.02</v>
      </c>
      <c r="E34" s="52">
        <v>0.04</v>
      </c>
      <c r="F34" s="53">
        <v>0.018</v>
      </c>
      <c r="G34" s="53">
        <v>0.04</v>
      </c>
      <c r="H34" s="52">
        <v>0.1</v>
      </c>
      <c r="I34" s="52">
        <v>0.25</v>
      </c>
      <c r="J34" s="52">
        <v>0.2</v>
      </c>
      <c r="K34" s="52">
        <v>0.85</v>
      </c>
    </row>
    <row r="35">
      <c r="B35" s="51" t="s">
        <v>78</v>
      </c>
      <c r="C35" s="52">
        <v>0.8</v>
      </c>
      <c r="D35" s="52">
        <v>0.01</v>
      </c>
      <c r="E35" s="52">
        <v>0.03</v>
      </c>
      <c r="F35" s="53">
        <v>0.015</v>
      </c>
      <c r="G35" s="53">
        <v>0.035</v>
      </c>
      <c r="H35" s="52">
        <v>0.7</v>
      </c>
      <c r="I35" s="52">
        <v>0.9</v>
      </c>
      <c r="J35" s="52">
        <v>0.25</v>
      </c>
      <c r="K35" s="52">
        <v>0.9</v>
      </c>
    </row>
    <row r="36">
      <c r="B36" s="51" t="s">
        <v>79</v>
      </c>
      <c r="C36" s="52">
        <v>0.4</v>
      </c>
      <c r="D36" s="52">
        <v>0.02</v>
      </c>
      <c r="E36" s="52">
        <v>0.04</v>
      </c>
      <c r="F36" s="53">
        <v>0.018</v>
      </c>
      <c r="G36" s="53">
        <v>0.04</v>
      </c>
      <c r="H36" s="52">
        <v>0.6</v>
      </c>
      <c r="I36" s="52">
        <v>0.9</v>
      </c>
      <c r="J36" s="52">
        <v>0.22</v>
      </c>
      <c r="K36" s="52">
        <v>0.85</v>
      </c>
    </row>
    <row r="37">
      <c r="B37" s="51" t="s">
        <v>80</v>
      </c>
      <c r="C37" s="52">
        <v>0.3</v>
      </c>
      <c r="D37" s="52">
        <v>0.02</v>
      </c>
      <c r="E37" s="52">
        <v>0.05</v>
      </c>
      <c r="F37" s="53">
        <v>0.017</v>
      </c>
      <c r="G37" s="53">
        <v>0.04</v>
      </c>
      <c r="H37" s="52">
        <v>0.3</v>
      </c>
      <c r="I37" s="52">
        <v>0.7</v>
      </c>
      <c r="J37" s="52">
        <v>0.2</v>
      </c>
      <c r="K37" s="52">
        <v>0.8</v>
      </c>
    </row>
    <row r="38">
      <c r="B38" s="51" t="s">
        <v>81</v>
      </c>
      <c r="C38" s="52">
        <v>0.14</v>
      </c>
      <c r="D38" s="52">
        <v>0.03</v>
      </c>
      <c r="E38" s="52">
        <v>0.05</v>
      </c>
      <c r="F38" s="53">
        <v>0.018</v>
      </c>
      <c r="G38" s="53">
        <v>0.042</v>
      </c>
      <c r="H38" s="52">
        <v>0.25</v>
      </c>
      <c r="I38" s="52">
        <v>0.5</v>
      </c>
      <c r="J38" s="52">
        <v>0.18</v>
      </c>
      <c r="K38" s="52">
        <v>0.8</v>
      </c>
    </row>
    <row r="39">
      <c r="B39" s="51" t="s">
        <v>82</v>
      </c>
      <c r="C39" s="52">
        <v>0.15</v>
      </c>
      <c r="D39" s="52">
        <v>0.02</v>
      </c>
      <c r="E39" s="52">
        <v>0.04</v>
      </c>
      <c r="F39" s="53">
        <v>0.018</v>
      </c>
      <c r="G39" s="53">
        <v>0.038</v>
      </c>
      <c r="H39" s="52">
        <v>0.1</v>
      </c>
      <c r="I39" s="52">
        <v>0.3</v>
      </c>
      <c r="J39" s="52">
        <v>0.2</v>
      </c>
      <c r="K39" s="52">
        <v>0.85</v>
      </c>
    </row>
    <row r="40">
      <c r="B40" s="51" t="s">
        <v>83</v>
      </c>
      <c r="C40" s="52">
        <v>0.18</v>
      </c>
      <c r="D40" s="52">
        <v>0.02</v>
      </c>
      <c r="E40" s="52">
        <v>0.04</v>
      </c>
      <c r="F40" s="53">
        <v>0.02</v>
      </c>
      <c r="G40" s="53">
        <v>0.04</v>
      </c>
      <c r="H40" s="52">
        <v>0.05</v>
      </c>
      <c r="I40" s="52">
        <v>0.15</v>
      </c>
      <c r="J40" s="52">
        <v>0.22</v>
      </c>
      <c r="K40" s="52">
        <v>0.85</v>
      </c>
    </row>
    <row r="41">
      <c r="D41" s="40"/>
      <c r="H41" s="52"/>
      <c r="I41" s="52"/>
    </row>
    <row r="42">
      <c r="D42" s="40"/>
    </row>
    <row r="43">
      <c r="D43" s="40"/>
    </row>
    <row r="44">
      <c r="D44" s="40"/>
    </row>
    <row r="45">
      <c r="D45" s="40"/>
    </row>
    <row r="46">
      <c r="D46" s="40"/>
    </row>
    <row r="47">
      <c r="D47" s="40"/>
    </row>
    <row r="48">
      <c r="D48" s="40"/>
    </row>
    <row r="49">
      <c r="D49" s="40"/>
    </row>
    <row r="50">
      <c r="D50" s="40"/>
    </row>
    <row r="51">
      <c r="D51" s="40"/>
    </row>
    <row r="52">
      <c r="D52" s="40"/>
    </row>
    <row r="53">
      <c r="D53" s="40"/>
    </row>
    <row r="54">
      <c r="D54" s="40"/>
    </row>
    <row r="55">
      <c r="D55" s="40"/>
    </row>
    <row r="56">
      <c r="D56" s="40"/>
    </row>
    <row r="57">
      <c r="D57" s="40"/>
    </row>
    <row r="58">
      <c r="D58" s="40"/>
    </row>
    <row r="59">
      <c r="D59" s="40"/>
    </row>
    <row r="60">
      <c r="D60" s="40"/>
    </row>
    <row r="61">
      <c r="D61" s="40"/>
    </row>
    <row r="62">
      <c r="D62" s="40"/>
    </row>
    <row r="63">
      <c r="D63" s="40"/>
    </row>
    <row r="64">
      <c r="D64" s="40"/>
    </row>
    <row r="65">
      <c r="D65" s="40"/>
    </row>
    <row r="66">
      <c r="D66" s="40"/>
    </row>
    <row r="67">
      <c r="D67" s="40"/>
    </row>
    <row r="68">
      <c r="D68" s="40"/>
    </row>
    <row r="69">
      <c r="D69" s="40"/>
    </row>
    <row r="70">
      <c r="D70" s="40"/>
    </row>
    <row r="71">
      <c r="D71" s="40"/>
    </row>
    <row r="72">
      <c r="D72" s="40"/>
    </row>
    <row r="73">
      <c r="D73" s="40"/>
    </row>
    <row r="74">
      <c r="D74" s="40"/>
    </row>
    <row r="75">
      <c r="D75" s="40"/>
    </row>
    <row r="76">
      <c r="D76" s="40"/>
    </row>
    <row r="77">
      <c r="D77" s="40"/>
    </row>
    <row r="78">
      <c r="D78" s="40"/>
    </row>
    <row r="79">
      <c r="D79" s="40"/>
    </row>
    <row r="80">
      <c r="D80" s="40"/>
    </row>
    <row r="81">
      <c r="D81" s="40"/>
    </row>
    <row r="82">
      <c r="D82" s="40"/>
    </row>
    <row r="83">
      <c r="D83" s="40"/>
    </row>
    <row r="84">
      <c r="D84" s="40"/>
    </row>
    <row r="85">
      <c r="D85" s="40"/>
    </row>
    <row r="86">
      <c r="D86" s="40"/>
    </row>
    <row r="87">
      <c r="D87" s="40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</sheetData>
  <mergeCells count="5">
    <mergeCell ref="D2:E2"/>
    <mergeCell ref="F2:G2"/>
    <mergeCell ref="H2:I2"/>
    <mergeCell ref="J2:K2"/>
    <mergeCell ref="N2:R2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6.5"/>
    <col customWidth="1" min="3" max="3" width="82.63"/>
    <col customWidth="1" min="4" max="4" width="64.75"/>
  </cols>
  <sheetData>
    <row r="1">
      <c r="A1" s="55" t="s">
        <v>84</v>
      </c>
      <c r="B1" s="55" t="s">
        <v>85</v>
      </c>
      <c r="C1" s="55" t="s">
        <v>86</v>
      </c>
      <c r="D1" s="55" t="s">
        <v>87</v>
      </c>
    </row>
    <row r="2">
      <c r="A2" s="56" t="s">
        <v>88</v>
      </c>
      <c r="B2" s="57"/>
      <c r="C2" s="57"/>
      <c r="D2" s="58"/>
    </row>
    <row r="3">
      <c r="A3" s="59"/>
      <c r="B3" s="60" t="s">
        <v>89</v>
      </c>
      <c r="C3" s="61" t="s">
        <v>90</v>
      </c>
      <c r="D3" s="62" t="s">
        <v>91</v>
      </c>
    </row>
    <row r="4">
      <c r="A4" s="59"/>
      <c r="B4" s="60" t="s">
        <v>92</v>
      </c>
      <c r="C4" s="61" t="s">
        <v>93</v>
      </c>
      <c r="D4" s="62" t="s">
        <v>94</v>
      </c>
    </row>
    <row r="5">
      <c r="A5" s="59"/>
      <c r="B5" s="60" t="s">
        <v>95</v>
      </c>
      <c r="C5" s="61" t="s">
        <v>96</v>
      </c>
      <c r="D5" s="62" t="s">
        <v>97</v>
      </c>
    </row>
    <row r="6">
      <c r="A6" s="59"/>
      <c r="B6" s="60" t="s">
        <v>98</v>
      </c>
      <c r="C6" s="61" t="s">
        <v>99</v>
      </c>
      <c r="D6" s="62" t="s">
        <v>100</v>
      </c>
    </row>
    <row r="7">
      <c r="A7" s="59"/>
      <c r="B7" s="60" t="s">
        <v>101</v>
      </c>
      <c r="C7" s="61" t="s">
        <v>102</v>
      </c>
      <c r="D7" s="62" t="s">
        <v>103</v>
      </c>
    </row>
    <row r="8">
      <c r="A8" s="59"/>
      <c r="B8" s="60" t="s">
        <v>104</v>
      </c>
      <c r="C8" s="61" t="s">
        <v>105</v>
      </c>
      <c r="D8" s="62" t="s">
        <v>106</v>
      </c>
    </row>
    <row r="9">
      <c r="A9" s="59"/>
      <c r="B9" s="60" t="s">
        <v>107</v>
      </c>
      <c r="C9" s="61" t="s">
        <v>108</v>
      </c>
      <c r="D9" s="62" t="s">
        <v>109</v>
      </c>
    </row>
    <row r="10">
      <c r="A10" s="63"/>
      <c r="B10" s="63"/>
      <c r="C10" s="63"/>
      <c r="D10" s="63"/>
    </row>
    <row r="11">
      <c r="A11" s="56" t="s">
        <v>110</v>
      </c>
      <c r="B11" s="57"/>
      <c r="C11" s="57"/>
      <c r="D11" s="58"/>
    </row>
    <row r="12">
      <c r="A12" s="59"/>
      <c r="B12" s="60" t="s">
        <v>111</v>
      </c>
      <c r="C12" s="61" t="s">
        <v>112</v>
      </c>
      <c r="D12" s="62" t="s">
        <v>113</v>
      </c>
    </row>
    <row r="13">
      <c r="A13" s="59"/>
      <c r="B13" s="60" t="s">
        <v>114</v>
      </c>
      <c r="C13" s="61" t="s">
        <v>115</v>
      </c>
      <c r="D13" s="62" t="s">
        <v>116</v>
      </c>
    </row>
    <row r="14">
      <c r="A14" s="63"/>
      <c r="B14" s="63"/>
      <c r="C14" s="63"/>
      <c r="D14" s="63"/>
    </row>
    <row r="15">
      <c r="A15" s="56" t="s">
        <v>117</v>
      </c>
      <c r="B15" s="57"/>
      <c r="C15" s="57"/>
      <c r="D15" s="58"/>
    </row>
    <row r="16">
      <c r="A16" s="59"/>
      <c r="B16" s="60" t="s">
        <v>118</v>
      </c>
      <c r="C16" s="61" t="s">
        <v>119</v>
      </c>
      <c r="D16" s="62" t="s">
        <v>120</v>
      </c>
    </row>
    <row r="17">
      <c r="A17" s="59"/>
      <c r="B17" s="60" t="s">
        <v>121</v>
      </c>
      <c r="C17" s="61" t="s">
        <v>122</v>
      </c>
      <c r="D17" s="62" t="s">
        <v>123</v>
      </c>
    </row>
    <row r="18">
      <c r="A18" s="59"/>
      <c r="B18" s="60" t="s">
        <v>124</v>
      </c>
      <c r="C18" s="61" t="s">
        <v>125</v>
      </c>
      <c r="D18" s="62" t="s">
        <v>126</v>
      </c>
    </row>
    <row r="19">
      <c r="A19" s="59"/>
      <c r="B19" s="60" t="s">
        <v>127</v>
      </c>
      <c r="C19" s="61" t="s">
        <v>128</v>
      </c>
      <c r="D19" s="62" t="s">
        <v>129</v>
      </c>
    </row>
    <row r="20">
      <c r="A20" s="59"/>
      <c r="B20" s="60" t="s">
        <v>130</v>
      </c>
      <c r="C20" s="61" t="s">
        <v>131</v>
      </c>
      <c r="D20" s="62" t="s">
        <v>132</v>
      </c>
    </row>
    <row r="21">
      <c r="A21" s="59"/>
      <c r="B21" s="60" t="s">
        <v>133</v>
      </c>
      <c r="C21" s="61" t="s">
        <v>134</v>
      </c>
      <c r="D21" s="62" t="s">
        <v>135</v>
      </c>
    </row>
    <row r="22">
      <c r="A22" s="59"/>
      <c r="B22" s="60" t="s">
        <v>136</v>
      </c>
      <c r="C22" s="61" t="s">
        <v>137</v>
      </c>
      <c r="D22" s="62" t="s">
        <v>138</v>
      </c>
    </row>
    <row r="23">
      <c r="A23" s="59"/>
      <c r="B23" s="60" t="s">
        <v>139</v>
      </c>
      <c r="C23" s="61" t="s">
        <v>140</v>
      </c>
      <c r="D23" s="62" t="s">
        <v>141</v>
      </c>
    </row>
    <row r="24">
      <c r="A24" s="59"/>
      <c r="B24" s="60" t="s">
        <v>142</v>
      </c>
      <c r="C24" s="61" t="s">
        <v>143</v>
      </c>
      <c r="D24" s="62" t="s">
        <v>144</v>
      </c>
    </row>
    <row r="25">
      <c r="A25" s="59"/>
      <c r="B25" s="60" t="s">
        <v>145</v>
      </c>
      <c r="C25" s="61" t="s">
        <v>146</v>
      </c>
      <c r="D25" s="62" t="s">
        <v>147</v>
      </c>
    </row>
    <row r="26">
      <c r="A26" s="59"/>
      <c r="B26" s="60" t="s">
        <v>148</v>
      </c>
      <c r="C26" s="61" t="s">
        <v>149</v>
      </c>
      <c r="D26" s="62" t="s">
        <v>150</v>
      </c>
    </row>
    <row r="27">
      <c r="A27" s="59"/>
      <c r="B27" s="60" t="s">
        <v>151</v>
      </c>
      <c r="C27" s="61" t="s">
        <v>152</v>
      </c>
      <c r="D27" s="62" t="s">
        <v>153</v>
      </c>
    </row>
    <row r="28">
      <c r="A28" s="59"/>
      <c r="B28" s="60" t="s">
        <v>154</v>
      </c>
      <c r="C28" s="61" t="s">
        <v>155</v>
      </c>
      <c r="D28" s="62" t="s">
        <v>156</v>
      </c>
    </row>
    <row r="29">
      <c r="A29" s="59"/>
      <c r="B29" s="60" t="s">
        <v>157</v>
      </c>
      <c r="C29" s="61" t="s">
        <v>158</v>
      </c>
      <c r="D29" s="62" t="s">
        <v>159</v>
      </c>
    </row>
    <row r="30">
      <c r="A30" s="59"/>
      <c r="B30" s="60" t="s">
        <v>160</v>
      </c>
      <c r="C30" s="61" t="s">
        <v>161</v>
      </c>
      <c r="D30" s="62" t="s">
        <v>162</v>
      </c>
    </row>
    <row r="31">
      <c r="A31" s="59"/>
      <c r="B31" s="60" t="s">
        <v>163</v>
      </c>
      <c r="C31" s="61" t="s">
        <v>164</v>
      </c>
      <c r="D31" s="62" t="s">
        <v>165</v>
      </c>
    </row>
    <row r="32">
      <c r="A32" s="59"/>
      <c r="B32" s="60" t="s">
        <v>166</v>
      </c>
      <c r="C32" s="61" t="s">
        <v>167</v>
      </c>
      <c r="D32" s="62" t="s">
        <v>168</v>
      </c>
    </row>
    <row r="33">
      <c r="A33" s="59"/>
      <c r="B33" s="60" t="s">
        <v>169</v>
      </c>
      <c r="C33" s="61" t="s">
        <v>170</v>
      </c>
      <c r="D33" s="62" t="s">
        <v>171</v>
      </c>
    </row>
    <row r="34">
      <c r="A34" s="59"/>
      <c r="B34" s="60" t="s">
        <v>172</v>
      </c>
      <c r="C34" s="61" t="s">
        <v>173</v>
      </c>
      <c r="D34" s="62" t="s">
        <v>174</v>
      </c>
    </row>
    <row r="35">
      <c r="A35" s="63"/>
      <c r="B35" s="64" t="s">
        <v>175</v>
      </c>
      <c r="C35" s="65" t="s">
        <v>176</v>
      </c>
      <c r="D35" s="66" t="s">
        <v>177</v>
      </c>
    </row>
    <row r="36">
      <c r="A36" s="63"/>
      <c r="B36" s="63"/>
      <c r="C36" s="63"/>
      <c r="D36" s="63"/>
    </row>
    <row r="37">
      <c r="A37" s="56" t="s">
        <v>178</v>
      </c>
      <c r="B37" s="57"/>
      <c r="C37" s="57"/>
      <c r="D37" s="58"/>
    </row>
    <row r="38">
      <c r="A38" s="59"/>
      <c r="B38" s="60" t="s">
        <v>179</v>
      </c>
      <c r="C38" s="61" t="s">
        <v>180</v>
      </c>
      <c r="D38" s="62" t="s">
        <v>181</v>
      </c>
    </row>
    <row r="39">
      <c r="A39" s="59"/>
      <c r="B39" s="60" t="s">
        <v>182</v>
      </c>
      <c r="C39" s="61" t="s">
        <v>183</v>
      </c>
      <c r="D39" s="62" t="s">
        <v>184</v>
      </c>
    </row>
    <row r="40">
      <c r="A40" s="59"/>
      <c r="B40" s="60" t="s">
        <v>185</v>
      </c>
      <c r="C40" s="61" t="s">
        <v>186</v>
      </c>
      <c r="D40" s="62" t="s">
        <v>187</v>
      </c>
    </row>
    <row r="41">
      <c r="A41" s="59"/>
      <c r="B41" s="60" t="s">
        <v>188</v>
      </c>
      <c r="C41" s="61" t="s">
        <v>189</v>
      </c>
      <c r="D41" s="62" t="s">
        <v>190</v>
      </c>
    </row>
    <row r="42">
      <c r="A42" s="59"/>
      <c r="B42" s="60" t="s">
        <v>191</v>
      </c>
      <c r="C42" s="61" t="s">
        <v>192</v>
      </c>
      <c r="D42" s="62" t="s">
        <v>193</v>
      </c>
    </row>
    <row r="43">
      <c r="A43" s="59"/>
      <c r="B43" s="60" t="s">
        <v>194</v>
      </c>
      <c r="C43" s="61" t="s">
        <v>195</v>
      </c>
      <c r="D43" s="62" t="s">
        <v>196</v>
      </c>
    </row>
    <row r="44">
      <c r="A44" s="59"/>
      <c r="B44" s="60" t="s">
        <v>197</v>
      </c>
      <c r="C44" s="61" t="s">
        <v>198</v>
      </c>
      <c r="D44" s="62" t="s">
        <v>199</v>
      </c>
    </row>
    <row r="45">
      <c r="A45" s="59"/>
      <c r="B45" s="60" t="s">
        <v>200</v>
      </c>
      <c r="C45" s="61" t="s">
        <v>201</v>
      </c>
      <c r="D45" s="62" t="s">
        <v>202</v>
      </c>
    </row>
    <row r="46">
      <c r="A46" s="59"/>
      <c r="B46" s="60" t="s">
        <v>203</v>
      </c>
      <c r="C46" s="61" t="s">
        <v>204</v>
      </c>
      <c r="D46" s="62" t="s">
        <v>205</v>
      </c>
    </row>
    <row r="47">
      <c r="A47" s="63"/>
      <c r="B47" s="63"/>
      <c r="C47" s="63"/>
      <c r="D47" s="63"/>
    </row>
    <row r="48">
      <c r="A48" s="56" t="s">
        <v>206</v>
      </c>
      <c r="B48" s="57"/>
      <c r="C48" s="57"/>
      <c r="D48" s="58"/>
    </row>
    <row r="49">
      <c r="A49" s="59"/>
      <c r="B49" s="60" t="s">
        <v>207</v>
      </c>
      <c r="C49" s="61" t="s">
        <v>208</v>
      </c>
      <c r="D49" s="62" t="s">
        <v>209</v>
      </c>
    </row>
    <row r="50">
      <c r="A50" s="59"/>
      <c r="B50" s="60" t="s">
        <v>210</v>
      </c>
      <c r="C50" s="61" t="s">
        <v>211</v>
      </c>
      <c r="D50" s="62" t="s">
        <v>212</v>
      </c>
    </row>
    <row r="51">
      <c r="A51" s="59"/>
      <c r="B51" s="60" t="s">
        <v>213</v>
      </c>
      <c r="C51" s="61" t="s">
        <v>214</v>
      </c>
      <c r="D51" s="62" t="s">
        <v>215</v>
      </c>
    </row>
    <row r="52">
      <c r="A52" s="59"/>
      <c r="B52" s="60" t="s">
        <v>216</v>
      </c>
      <c r="C52" s="61" t="s">
        <v>217</v>
      </c>
      <c r="D52" s="62" t="s">
        <v>218</v>
      </c>
    </row>
    <row r="53">
      <c r="A53" s="63"/>
      <c r="B53" s="63"/>
      <c r="C53" s="63"/>
      <c r="D53" s="63"/>
    </row>
    <row r="54">
      <c r="A54" s="56" t="s">
        <v>9</v>
      </c>
      <c r="B54" s="57"/>
      <c r="C54" s="57"/>
      <c r="D54" s="58"/>
    </row>
    <row r="55">
      <c r="A55" s="59"/>
      <c r="B55" s="60" t="s">
        <v>219</v>
      </c>
      <c r="C55" s="61" t="s">
        <v>220</v>
      </c>
      <c r="D55" s="62" t="s">
        <v>221</v>
      </c>
    </row>
    <row r="56">
      <c r="A56" s="59"/>
      <c r="B56" s="60" t="s">
        <v>222</v>
      </c>
      <c r="C56" s="61" t="s">
        <v>223</v>
      </c>
      <c r="D56" s="62" t="s">
        <v>224</v>
      </c>
    </row>
    <row r="57">
      <c r="A57" s="59"/>
      <c r="B57" s="60" t="s">
        <v>225</v>
      </c>
      <c r="C57" s="61" t="s">
        <v>226</v>
      </c>
      <c r="D57" s="62" t="s">
        <v>227</v>
      </c>
    </row>
    <row r="58">
      <c r="A58" s="59"/>
      <c r="B58" s="60" t="s">
        <v>228</v>
      </c>
      <c r="C58" s="61" t="s">
        <v>229</v>
      </c>
      <c r="D58" s="62" t="s">
        <v>230</v>
      </c>
    </row>
    <row r="59">
      <c r="A59" s="59"/>
      <c r="B59" s="60" t="s">
        <v>231</v>
      </c>
      <c r="C59" s="61" t="s">
        <v>232</v>
      </c>
      <c r="D59" s="62" t="s">
        <v>233</v>
      </c>
    </row>
    <row r="60">
      <c r="A60" s="59"/>
      <c r="B60" s="60" t="s">
        <v>234</v>
      </c>
      <c r="C60" s="61" t="s">
        <v>235</v>
      </c>
      <c r="D60" s="62" t="s">
        <v>236</v>
      </c>
    </row>
    <row r="61">
      <c r="A61" s="59"/>
      <c r="B61" s="60" t="s">
        <v>237</v>
      </c>
      <c r="C61" s="61" t="s">
        <v>238</v>
      </c>
      <c r="D61" s="62" t="s">
        <v>239</v>
      </c>
    </row>
    <row r="62">
      <c r="A62" s="59"/>
      <c r="B62" s="60" t="s">
        <v>240</v>
      </c>
      <c r="C62" s="61" t="s">
        <v>241</v>
      </c>
      <c r="D62" s="62" t="s">
        <v>242</v>
      </c>
    </row>
    <row r="63">
      <c r="A63" s="59"/>
      <c r="B63" s="60" t="s">
        <v>243</v>
      </c>
      <c r="C63" s="61" t="s">
        <v>244</v>
      </c>
      <c r="D63" s="62" t="s">
        <v>245</v>
      </c>
    </row>
    <row r="64">
      <c r="A64" s="59"/>
      <c r="B64" s="60" t="s">
        <v>246</v>
      </c>
      <c r="C64" s="61" t="s">
        <v>247</v>
      </c>
      <c r="D64" s="62" t="s">
        <v>248</v>
      </c>
    </row>
    <row r="65">
      <c r="A65" s="67"/>
      <c r="B65" s="60" t="s">
        <v>249</v>
      </c>
      <c r="C65" s="61" t="s">
        <v>250</v>
      </c>
      <c r="D65" s="62" t="s">
        <v>251</v>
      </c>
    </row>
    <row r="66">
      <c r="A66" s="59"/>
      <c r="B66" s="60" t="s">
        <v>252</v>
      </c>
      <c r="C66" s="61" t="s">
        <v>253</v>
      </c>
      <c r="D66" s="62" t="s">
        <v>254</v>
      </c>
    </row>
    <row r="67">
      <c r="A67" s="59"/>
      <c r="B67" s="60" t="s">
        <v>255</v>
      </c>
      <c r="C67" s="61" t="s">
        <v>256</v>
      </c>
      <c r="D67" s="62" t="s">
        <v>257</v>
      </c>
    </row>
    <row r="68">
      <c r="A68" s="59"/>
      <c r="B68" s="60" t="s">
        <v>258</v>
      </c>
      <c r="C68" s="61" t="s">
        <v>259</v>
      </c>
      <c r="D68" s="62" t="s">
        <v>260</v>
      </c>
    </row>
  </sheetData>
  <mergeCells count="6">
    <mergeCell ref="A2:D2"/>
    <mergeCell ref="A11:D11"/>
    <mergeCell ref="A15:D15"/>
    <mergeCell ref="A37:D37"/>
    <mergeCell ref="A48:D48"/>
    <mergeCell ref="A54:D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62.13"/>
    <col customWidth="1" min="4" max="5" width="34.13"/>
    <col customWidth="1" min="6" max="6" width="28.88"/>
    <col customWidth="1" min="7" max="7" width="16.63"/>
    <col customWidth="1" min="8" max="8" width="74.25"/>
  </cols>
  <sheetData>
    <row r="1" ht="15.0" customHeight="1">
      <c r="A1" s="68"/>
      <c r="B1" s="69" t="s">
        <v>261</v>
      </c>
      <c r="C1" s="70" t="s">
        <v>262</v>
      </c>
      <c r="D1" s="71" t="s">
        <v>263</v>
      </c>
      <c r="G1" s="68"/>
      <c r="H1" s="68"/>
    </row>
    <row r="2">
      <c r="A2" s="68"/>
      <c r="B2" s="72" t="s">
        <v>264</v>
      </c>
      <c r="C2" s="73" t="s">
        <v>265</v>
      </c>
      <c r="D2" s="71" t="s">
        <v>266</v>
      </c>
      <c r="G2" s="68"/>
      <c r="H2" s="68"/>
    </row>
    <row r="3">
      <c r="A3" s="68"/>
      <c r="B3" s="69" t="s">
        <v>267</v>
      </c>
      <c r="C3" s="74" t="s">
        <v>268</v>
      </c>
      <c r="D3" s="75" t="s">
        <v>269</v>
      </c>
      <c r="G3" s="68"/>
      <c r="H3" s="68"/>
    </row>
    <row r="4">
      <c r="A4" s="68"/>
      <c r="B4" s="76" t="s">
        <v>28</v>
      </c>
      <c r="C4" s="77" t="s">
        <v>76</v>
      </c>
      <c r="D4" s="75" t="s">
        <v>270</v>
      </c>
      <c r="G4" s="68"/>
      <c r="H4" s="68"/>
    </row>
    <row r="5" ht="36.75" customHeight="1">
      <c r="A5" s="68"/>
      <c r="B5" s="78" t="s">
        <v>271</v>
      </c>
      <c r="C5" s="79">
        <f>'BC Pay-ins LatAm'!H19+' BC Pay-ins NA'!H19+'BC Pay-ins APAC'!H19+'BC Pay-ins EMEA'!H19</f>
        <v>68.88263495</v>
      </c>
      <c r="D5" s="80">
        <f t="shared" ref="D5:D9" si="1">ROUNDDOWN(C5-1,0)</f>
        <v>67</v>
      </c>
      <c r="E5" s="80">
        <f t="shared" ref="E5:E9" si="2">ROUNDUP(C5+2,0)</f>
        <v>71</v>
      </c>
      <c r="F5" s="75" t="s">
        <v>272</v>
      </c>
      <c r="G5" s="81" t="s">
        <v>273</v>
      </c>
      <c r="H5" s="82" t="s">
        <v>274</v>
      </c>
    </row>
    <row r="6" ht="36.75" customHeight="1" outlineLevel="1">
      <c r="A6" s="68"/>
      <c r="B6" s="83" t="s">
        <v>275</v>
      </c>
      <c r="C6" s="84">
        <f>'BC Pay-ins LatAm'!H27+'BC Pay-ins LatAm'!H47+' BC Pay-ins NA'!H27+' BC Pay-ins NA'!H47+'BC Pay-ins APAC'!H27+'BC Pay-ins APAC'!H47+'BC Pay-ins EMEA'!H27+'BC Pay-ins EMEA'!H47</f>
        <v>39.54257698</v>
      </c>
      <c r="D6" s="80">
        <f t="shared" si="1"/>
        <v>38</v>
      </c>
      <c r="E6" s="80">
        <f t="shared" si="2"/>
        <v>42</v>
      </c>
      <c r="F6" s="75" t="s">
        <v>272</v>
      </c>
      <c r="G6" s="85" t="s">
        <v>276</v>
      </c>
      <c r="H6" s="86" t="s">
        <v>277</v>
      </c>
    </row>
    <row r="7" ht="36.75" customHeight="1" outlineLevel="1">
      <c r="A7" s="68"/>
      <c r="B7" s="83" t="s">
        <v>278</v>
      </c>
      <c r="C7" s="84">
        <f>'BC Pay-ins LatAm'!H37+' BC Pay-ins NA'!H37+'BC Pay-ins APAC'!H37+'BC Pay-ins EMEA'!H37</f>
        <v>357.3303607</v>
      </c>
      <c r="D7" s="80">
        <f t="shared" si="1"/>
        <v>356</v>
      </c>
      <c r="E7" s="80">
        <f t="shared" si="2"/>
        <v>360</v>
      </c>
      <c r="F7" s="75" t="s">
        <v>272</v>
      </c>
      <c r="G7" s="85" t="s">
        <v>279</v>
      </c>
      <c r="H7" s="87" t="s">
        <v>280</v>
      </c>
    </row>
    <row r="8" ht="36.75" customHeight="1">
      <c r="A8" s="68"/>
      <c r="B8" s="83" t="s">
        <v>281</v>
      </c>
      <c r="C8" s="84">
        <f>(Sheet5!H41+Sheet6!H41+Sheet7!H41+'BC Devs.Eng. Integrations Savin'!H41)</f>
        <v>6.588</v>
      </c>
      <c r="D8" s="88">
        <f t="shared" si="1"/>
        <v>5</v>
      </c>
      <c r="E8" s="88">
        <f t="shared" si="2"/>
        <v>9</v>
      </c>
      <c r="F8" s="75" t="s">
        <v>272</v>
      </c>
      <c r="G8" s="85" t="s">
        <v>282</v>
      </c>
      <c r="H8" s="86" t="s">
        <v>283</v>
      </c>
    </row>
    <row r="9" ht="36.75" customHeight="1" outlineLevel="1">
      <c r="A9" s="68"/>
      <c r="B9" s="89" t="s">
        <v>284</v>
      </c>
      <c r="C9" s="90">
        <f>SUM(C5:C8)</f>
        <v>472.3435726</v>
      </c>
      <c r="D9" s="88">
        <f t="shared" si="1"/>
        <v>471</v>
      </c>
      <c r="E9" s="88">
        <f t="shared" si="2"/>
        <v>475</v>
      </c>
      <c r="F9" s="75" t="s">
        <v>272</v>
      </c>
      <c r="G9" s="91" t="s">
        <v>285</v>
      </c>
      <c r="H9" s="92" t="s">
        <v>286</v>
      </c>
    </row>
    <row r="10" ht="36.75" customHeight="1" outlineLevel="1">
      <c r="A10" s="68"/>
      <c r="B10" s="76" t="s">
        <v>287</v>
      </c>
      <c r="C10" s="74" t="s">
        <v>288</v>
      </c>
      <c r="D10" s="71"/>
      <c r="E10" s="71"/>
    </row>
    <row r="11" ht="36.75" customHeight="1">
      <c r="A11" s="68"/>
      <c r="B11" s="76" t="s">
        <v>289</v>
      </c>
      <c r="C11" s="74" t="s">
        <v>290</v>
      </c>
      <c r="D11" s="71" t="s">
        <v>291</v>
      </c>
      <c r="E11" s="71"/>
    </row>
    <row r="12" ht="36.75" customHeight="1">
      <c r="A12" s="68"/>
      <c r="B12" s="93" t="s">
        <v>292</v>
      </c>
      <c r="C12" s="94"/>
      <c r="D12" s="71"/>
      <c r="E12" s="71"/>
      <c r="F12" s="71"/>
    </row>
    <row r="13">
      <c r="A13" s="68"/>
      <c r="B13" s="76" t="s">
        <v>293</v>
      </c>
      <c r="C13" s="95">
        <v>1.105E10</v>
      </c>
      <c r="D13" s="75" t="s">
        <v>294</v>
      </c>
      <c r="E13" s="75"/>
      <c r="G13" s="96"/>
      <c r="H13" s="96"/>
    </row>
    <row r="14">
      <c r="A14" s="68"/>
      <c r="B14" s="76" t="s">
        <v>295</v>
      </c>
      <c r="C14" s="97">
        <v>3.5E9</v>
      </c>
      <c r="D14" s="75" t="s">
        <v>296</v>
      </c>
      <c r="E14" s="75"/>
      <c r="G14" s="96"/>
      <c r="H14" s="96"/>
    </row>
    <row r="15">
      <c r="A15" s="68"/>
      <c r="B15" s="76" t="s">
        <v>297</v>
      </c>
      <c r="C15" s="98">
        <v>0.6</v>
      </c>
      <c r="D15" s="75" t="s">
        <v>298</v>
      </c>
      <c r="E15" s="75"/>
    </row>
    <row r="16">
      <c r="A16" s="68"/>
      <c r="B16" s="99" t="s">
        <v>299</v>
      </c>
      <c r="C16" s="100">
        <f>C14/C15</f>
        <v>5833333333</v>
      </c>
      <c r="D16" s="88">
        <f>C16/1000000</f>
        <v>5833.333333</v>
      </c>
      <c r="E16" s="75" t="s">
        <v>272</v>
      </c>
      <c r="G16" s="96"/>
      <c r="H16" s="96"/>
    </row>
    <row r="17">
      <c r="A17" s="68"/>
      <c r="B17" s="68"/>
      <c r="C17" s="101"/>
      <c r="D17" s="102">
        <f>'BC Pay-ins LatAm'!H11+' BC Pay-ins NA'!H11+'BC Pay-ins EMEA'!H11+'BC Pay-ins APAC'!H11</f>
        <v>4212.674817</v>
      </c>
      <c r="E17" s="71"/>
      <c r="F17" s="71"/>
      <c r="G17" s="96"/>
      <c r="H17" s="96"/>
    </row>
    <row r="18">
      <c r="A18" s="68"/>
      <c r="B18" s="103" t="s">
        <v>14</v>
      </c>
      <c r="C18" s="104" t="s">
        <v>13</v>
      </c>
      <c r="D18" s="105">
        <f>'BC Pay-ins LatAm'!H4+' BC Pay-ins NA'!H4+'BC Pay-ins EMEA'!H4+'BC Pay-ins APAC'!H4</f>
        <v>0.7279</v>
      </c>
      <c r="E18" s="71"/>
      <c r="F18" s="71"/>
      <c r="G18" s="96"/>
      <c r="H18" s="96"/>
    </row>
    <row r="19">
      <c r="A19" s="68"/>
      <c r="B19" s="106" t="s">
        <v>16</v>
      </c>
      <c r="C19" s="107" t="s">
        <v>15</v>
      </c>
      <c r="D19" s="108">
        <f>C16*D18</f>
        <v>4246083333</v>
      </c>
      <c r="E19" s="71"/>
      <c r="F19" s="71"/>
      <c r="G19" s="96"/>
      <c r="H19" s="96"/>
    </row>
    <row r="20">
      <c r="A20" s="68"/>
      <c r="B20" s="109" t="s">
        <v>18</v>
      </c>
      <c r="C20" s="110" t="s">
        <v>300</v>
      </c>
      <c r="D20" s="71"/>
      <c r="E20" s="71"/>
      <c r="F20" s="71"/>
      <c r="G20" s="96"/>
      <c r="H20" s="96"/>
    </row>
    <row r="21">
      <c r="A21" s="68"/>
      <c r="B21" s="111" t="s">
        <v>20</v>
      </c>
      <c r="C21" s="112" t="s">
        <v>301</v>
      </c>
      <c r="D21" s="71"/>
      <c r="E21" s="71"/>
      <c r="F21" s="71"/>
      <c r="G21" s="96"/>
      <c r="H21" s="96"/>
    </row>
    <row r="22">
      <c r="A22" s="68"/>
      <c r="C22" s="113">
        <f>(Sheet5!K42+Sheet6!K42+Sheet7!K42+'BC Devs.Eng. Integrations Savin'!K42)</f>
        <v>24.75</v>
      </c>
      <c r="D22" s="71"/>
      <c r="E22" s="71"/>
      <c r="F22" s="71"/>
      <c r="G22" s="68"/>
      <c r="H22" s="68"/>
    </row>
    <row r="23">
      <c r="A23" s="68"/>
      <c r="B23" s="114" t="s">
        <v>302</v>
      </c>
      <c r="C23" s="115" t="str">
        <f>CONCATENATE(ROUNDUP(C22,2)," ","years")</f>
        <v>24.75 years</v>
      </c>
      <c r="D23" s="116">
        <f>ROUNDDOWN(C24-1,0)</f>
        <v>23</v>
      </c>
      <c r="E23" s="116">
        <f>ROUNDUP(C24+1,0)</f>
        <v>26</v>
      </c>
      <c r="F23" s="75" t="s">
        <v>298</v>
      </c>
      <c r="G23" s="68"/>
      <c r="H23" s="68"/>
    </row>
    <row r="24">
      <c r="A24" s="68"/>
      <c r="B24" s="117"/>
      <c r="C24" s="118">
        <f>ROUNDUP(C22,2)</f>
        <v>24.75</v>
      </c>
      <c r="D24" s="119"/>
      <c r="E24" s="119"/>
      <c r="F24" s="119"/>
      <c r="G24" s="68"/>
      <c r="H24" s="68"/>
    </row>
    <row r="25">
      <c r="A25" s="68"/>
      <c r="B25" s="117"/>
      <c r="C25" s="120"/>
      <c r="D25" s="75"/>
      <c r="E25" s="75"/>
      <c r="F25" s="75"/>
      <c r="G25" s="68"/>
      <c r="H25" s="68"/>
    </row>
    <row r="26">
      <c r="A26" s="68"/>
      <c r="B26" s="117"/>
      <c r="C26" s="120"/>
      <c r="D26" s="119"/>
      <c r="E26" s="119"/>
      <c r="F26" s="119"/>
      <c r="G26" s="68"/>
      <c r="H26" s="68"/>
    </row>
    <row r="27">
      <c r="A27" s="68"/>
      <c r="B27" s="117"/>
      <c r="C27" s="121"/>
      <c r="D27" s="119"/>
      <c r="E27" s="119"/>
      <c r="F27" s="119"/>
      <c r="G27" s="68"/>
      <c r="H27" s="68"/>
    </row>
    <row r="28">
      <c r="A28" s="68"/>
      <c r="B28" s="117"/>
      <c r="C28" s="122"/>
      <c r="F28" s="119"/>
      <c r="G28" s="68"/>
      <c r="H28" s="68"/>
    </row>
    <row r="29">
      <c r="A29" s="68"/>
      <c r="B29" s="123" t="s">
        <v>303</v>
      </c>
      <c r="C29" s="124">
        <f>C5</f>
        <v>68.88263495</v>
      </c>
      <c r="F29" s="119"/>
      <c r="G29" s="68"/>
      <c r="H29" s="68"/>
    </row>
    <row r="30">
      <c r="A30" s="68"/>
      <c r="B30" s="123" t="s">
        <v>304</v>
      </c>
      <c r="C30" s="124">
        <f>C7</f>
        <v>357.3303607</v>
      </c>
      <c r="F30" s="119"/>
      <c r="G30" s="68"/>
      <c r="H30" s="68"/>
    </row>
    <row r="31">
      <c r="A31" s="68"/>
      <c r="B31" s="123" t="s">
        <v>305</v>
      </c>
      <c r="C31" s="124">
        <f>'BC Pay-ins LatAm'!D37+'BC Pay-ins LatAm'!D56+' BC Pay-ins NA'!D37+' BC Pay-ins NA'!D56+'BC Pay-ins EMEA'!D37+'BC Pay-ins EMEA'!D56+'BC Pay-ins APAC'!D37+'BC Pay-ins APAC'!D56</f>
        <v>81.7760775</v>
      </c>
      <c r="F31" s="119"/>
      <c r="G31" s="68"/>
      <c r="H31" s="68"/>
    </row>
    <row r="32" outlineLevel="1">
      <c r="A32" s="68"/>
      <c r="B32" s="123" t="s">
        <v>306</v>
      </c>
      <c r="C32" s="124">
        <f>C6</f>
        <v>39.54257698</v>
      </c>
      <c r="F32" s="119"/>
      <c r="G32" s="68"/>
      <c r="H32" s="68"/>
    </row>
    <row r="33">
      <c r="A33" s="68"/>
      <c r="B33" s="123" t="s">
        <v>307</v>
      </c>
      <c r="C33" s="124">
        <f>sum('BC Pay-ins LatAm'!C34:G34)+SUM(' BC Pay-ins NA'!C34:G34)+SUM('BC Pay-ins EMEA'!C34:G34)+SUM('BC Pay-ins APAC'!C34:G34)</f>
        <v>59</v>
      </c>
      <c r="F33" s="71"/>
      <c r="G33" s="68"/>
      <c r="H33" s="68"/>
    </row>
    <row r="34">
      <c r="A34" s="68"/>
      <c r="B34" s="123" t="s">
        <v>308</v>
      </c>
      <c r="C34" s="124">
        <f>C8</f>
        <v>6.588</v>
      </c>
      <c r="D34" s="119"/>
      <c r="E34" s="119"/>
      <c r="F34" s="119"/>
      <c r="G34" s="68"/>
      <c r="H34" s="68"/>
    </row>
    <row r="35">
      <c r="A35" s="68"/>
      <c r="B35" s="123" t="s">
        <v>309</v>
      </c>
      <c r="C35" s="125" t="str">
        <f>C23</f>
        <v>24.75 years</v>
      </c>
      <c r="D35" s="71"/>
      <c r="E35" s="71"/>
      <c r="F35" s="71"/>
      <c r="G35" s="68"/>
      <c r="H35" s="68"/>
    </row>
    <row r="36">
      <c r="A36" s="68"/>
      <c r="B36" s="117"/>
      <c r="C36" s="122"/>
      <c r="D36" s="119"/>
      <c r="E36" s="119"/>
      <c r="F36" s="119"/>
      <c r="G36" s="68"/>
      <c r="H36" s="68"/>
    </row>
    <row r="37">
      <c r="A37" s="68"/>
      <c r="B37" s="117"/>
      <c r="C37" s="126"/>
      <c r="D37" s="119"/>
      <c r="E37" s="119"/>
      <c r="F37" s="119"/>
      <c r="G37" s="68"/>
      <c r="H37" s="68"/>
    </row>
    <row r="38">
      <c r="A38" s="68"/>
      <c r="B38" s="117"/>
      <c r="C38" s="122"/>
      <c r="D38" s="119"/>
      <c r="E38" s="119"/>
      <c r="F38" s="119"/>
      <c r="G38" s="68"/>
      <c r="H38" s="68"/>
    </row>
    <row r="39">
      <c r="A39" s="68"/>
      <c r="B39" s="117"/>
      <c r="C39" s="126"/>
      <c r="D39" s="119"/>
      <c r="E39" s="119"/>
      <c r="F39" s="119"/>
      <c r="G39" s="68"/>
      <c r="H39" s="68"/>
    </row>
    <row r="40">
      <c r="A40" s="68"/>
      <c r="B40" s="117"/>
      <c r="C40" s="122"/>
      <c r="D40" s="119"/>
      <c r="E40" s="119"/>
      <c r="F40" s="119"/>
      <c r="G40" s="68"/>
      <c r="H40" s="68"/>
    </row>
    <row r="41">
      <c r="A41" s="68"/>
      <c r="B41" s="117"/>
      <c r="C41" s="126"/>
      <c r="D41" s="119"/>
      <c r="E41" s="119"/>
      <c r="F41" s="119"/>
      <c r="G41" s="68"/>
      <c r="H41" s="68"/>
    </row>
    <row r="42">
      <c r="A42" s="68"/>
      <c r="B42" s="117"/>
      <c r="C42" s="126"/>
      <c r="D42" s="119"/>
      <c r="E42" s="119"/>
      <c r="F42" s="119"/>
      <c r="G42" s="68"/>
      <c r="H42" s="68"/>
    </row>
    <row r="43">
      <c r="A43" s="68"/>
      <c r="B43" s="117"/>
      <c r="C43" s="126"/>
      <c r="D43" s="119"/>
      <c r="E43" s="119"/>
      <c r="F43" s="119"/>
      <c r="G43" s="68"/>
      <c r="H43" s="68"/>
    </row>
    <row r="44">
      <c r="A44" s="68"/>
      <c r="B44" s="117"/>
      <c r="C44" s="127"/>
      <c r="D44" s="119"/>
      <c r="E44" s="119"/>
      <c r="F44" s="119"/>
      <c r="G44" s="68"/>
      <c r="H44" s="68"/>
    </row>
    <row r="45">
      <c r="A45" s="68"/>
      <c r="B45" s="117"/>
      <c r="C45" s="126"/>
      <c r="D45" s="119"/>
      <c r="E45" s="119"/>
      <c r="F45" s="119"/>
      <c r="G45" s="68"/>
      <c r="H45" s="68"/>
    </row>
    <row r="46">
      <c r="A46" s="68"/>
      <c r="B46" s="117"/>
      <c r="C46" s="126"/>
      <c r="D46" s="119"/>
      <c r="E46" s="119"/>
      <c r="F46" s="119"/>
      <c r="G46" s="68"/>
      <c r="H46" s="68"/>
    </row>
    <row r="47">
      <c r="A47" s="68"/>
      <c r="B47" s="117"/>
      <c r="C47" s="126"/>
      <c r="D47" s="119"/>
      <c r="E47" s="119"/>
      <c r="F47" s="119"/>
      <c r="G47" s="68"/>
      <c r="H47" s="68"/>
    </row>
    <row r="48">
      <c r="A48" s="68"/>
      <c r="B48" s="117"/>
      <c r="C48" s="126"/>
      <c r="D48" s="119"/>
      <c r="E48" s="119"/>
      <c r="F48" s="119"/>
      <c r="G48" s="68"/>
      <c r="H48" s="68"/>
    </row>
    <row r="49">
      <c r="A49" s="68"/>
      <c r="B49" s="117"/>
      <c r="C49" s="126"/>
      <c r="D49" s="119"/>
      <c r="E49" s="119"/>
      <c r="F49" s="119"/>
      <c r="G49" s="68"/>
      <c r="H49" s="68"/>
    </row>
    <row r="50">
      <c r="A50" s="68"/>
      <c r="B50" s="117"/>
      <c r="C50" s="126"/>
      <c r="D50" s="119"/>
      <c r="E50" s="119"/>
      <c r="F50" s="119"/>
      <c r="G50" s="68"/>
      <c r="H50" s="68"/>
    </row>
    <row r="51">
      <c r="A51" s="68"/>
      <c r="B51" s="117"/>
      <c r="C51" s="126"/>
      <c r="D51" s="119"/>
      <c r="E51" s="119"/>
      <c r="F51" s="119"/>
      <c r="G51" s="68"/>
      <c r="H51" s="68"/>
    </row>
    <row r="52">
      <c r="A52" s="68"/>
      <c r="B52" s="117"/>
      <c r="C52" s="126"/>
      <c r="D52" s="119"/>
      <c r="E52" s="119"/>
      <c r="F52" s="119"/>
      <c r="G52" s="68"/>
      <c r="H52" s="68"/>
    </row>
    <row r="53">
      <c r="A53" s="68"/>
      <c r="B53" s="117"/>
      <c r="C53" s="126"/>
      <c r="D53" s="119"/>
      <c r="E53" s="119"/>
      <c r="F53" s="119"/>
      <c r="G53" s="68"/>
      <c r="H53" s="68"/>
    </row>
    <row r="54">
      <c r="A54" s="68"/>
      <c r="B54" s="117"/>
      <c r="C54" s="126"/>
      <c r="D54" s="119"/>
      <c r="E54" s="119"/>
      <c r="F54" s="119"/>
      <c r="G54" s="68"/>
      <c r="H54" s="68"/>
    </row>
    <row r="55">
      <c r="A55" s="68"/>
      <c r="B55" s="117"/>
      <c r="C55" s="126"/>
      <c r="D55" s="119"/>
      <c r="E55" s="119"/>
      <c r="F55" s="119"/>
      <c r="G55" s="68"/>
      <c r="H55" s="68"/>
    </row>
    <row r="56">
      <c r="A56" s="68"/>
      <c r="B56" s="117"/>
      <c r="C56" s="126"/>
      <c r="D56" s="119"/>
      <c r="E56" s="119"/>
      <c r="F56" s="119"/>
      <c r="G56" s="68"/>
      <c r="H56" s="68"/>
    </row>
    <row r="57">
      <c r="A57" s="68"/>
      <c r="B57" s="117"/>
      <c r="C57" s="126"/>
      <c r="D57" s="119"/>
      <c r="E57" s="119"/>
      <c r="F57" s="119"/>
      <c r="G57" s="68"/>
      <c r="H57" s="68"/>
    </row>
    <row r="58">
      <c r="A58" s="68"/>
      <c r="B58" s="117"/>
      <c r="C58" s="126"/>
      <c r="D58" s="119"/>
      <c r="E58" s="119"/>
      <c r="F58" s="119"/>
      <c r="G58" s="68"/>
      <c r="H58" s="68"/>
    </row>
    <row r="59">
      <c r="A59" s="68"/>
      <c r="B59" s="117"/>
      <c r="C59" s="126"/>
      <c r="D59" s="119"/>
      <c r="E59" s="119"/>
      <c r="F59" s="119"/>
      <c r="G59" s="68"/>
      <c r="H59" s="68"/>
    </row>
    <row r="60">
      <c r="A60" s="68"/>
      <c r="B60" s="117"/>
      <c r="C60" s="126"/>
      <c r="D60" s="119"/>
      <c r="E60" s="119"/>
      <c r="F60" s="119"/>
      <c r="G60" s="68"/>
      <c r="H60" s="68"/>
    </row>
    <row r="61">
      <c r="A61" s="68"/>
      <c r="B61" s="117"/>
      <c r="C61" s="126"/>
      <c r="D61" s="119"/>
      <c r="E61" s="119"/>
      <c r="F61" s="119"/>
      <c r="G61" s="68"/>
      <c r="H61" s="68"/>
    </row>
    <row r="62">
      <c r="A62" s="68"/>
      <c r="B62" s="117"/>
      <c r="C62" s="126"/>
      <c r="D62" s="119"/>
      <c r="E62" s="119"/>
      <c r="F62" s="119"/>
      <c r="G62" s="68"/>
      <c r="H62" s="68"/>
    </row>
    <row r="63">
      <c r="A63" s="68"/>
      <c r="B63" s="117"/>
      <c r="C63" s="126"/>
      <c r="D63" s="119"/>
      <c r="E63" s="119"/>
      <c r="F63" s="119"/>
      <c r="G63" s="68"/>
      <c r="H63" s="68"/>
    </row>
    <row r="64">
      <c r="A64" s="68"/>
      <c r="B64" s="117"/>
      <c r="C64" s="126"/>
      <c r="D64" s="119"/>
      <c r="E64" s="119"/>
      <c r="F64" s="119"/>
      <c r="G64" s="68"/>
      <c r="H64" s="68"/>
    </row>
    <row r="65">
      <c r="A65" s="68"/>
      <c r="B65" s="117"/>
      <c r="C65" s="126"/>
      <c r="D65" s="119"/>
      <c r="E65" s="119"/>
      <c r="F65" s="119"/>
      <c r="G65" s="68"/>
      <c r="H65" s="68"/>
    </row>
    <row r="66">
      <c r="A66" s="68"/>
      <c r="B66" s="117"/>
      <c r="C66" s="126"/>
      <c r="D66" s="119"/>
      <c r="E66" s="119"/>
      <c r="F66" s="119"/>
      <c r="G66" s="68"/>
      <c r="H66" s="68"/>
    </row>
    <row r="67">
      <c r="A67" s="68"/>
      <c r="B67" s="117"/>
      <c r="C67" s="126"/>
      <c r="D67" s="119"/>
      <c r="E67" s="119"/>
      <c r="F67" s="119"/>
      <c r="G67" s="68"/>
      <c r="H67" s="68"/>
    </row>
    <row r="68">
      <c r="A68" s="68"/>
      <c r="B68" s="117"/>
      <c r="C68" s="126"/>
      <c r="D68" s="119"/>
      <c r="E68" s="119"/>
      <c r="F68" s="119"/>
      <c r="G68" s="68"/>
      <c r="H68" s="68"/>
    </row>
    <row r="69">
      <c r="A69" s="68"/>
      <c r="B69" s="117"/>
      <c r="C69" s="126"/>
      <c r="D69" s="119"/>
      <c r="E69" s="119"/>
      <c r="F69" s="119"/>
      <c r="G69" s="68"/>
      <c r="H69" s="68"/>
    </row>
    <row r="70">
      <c r="A70" s="68"/>
      <c r="B70" s="117"/>
      <c r="C70" s="126"/>
      <c r="D70" s="119"/>
      <c r="E70" s="119"/>
      <c r="F70" s="119"/>
      <c r="G70" s="68"/>
      <c r="H70" s="68"/>
    </row>
    <row r="71">
      <c r="A71" s="68"/>
      <c r="B71" s="117"/>
      <c r="C71" s="126"/>
      <c r="D71" s="119"/>
      <c r="E71" s="119"/>
      <c r="F71" s="119"/>
      <c r="G71" s="68"/>
      <c r="H71" s="68"/>
    </row>
    <row r="72">
      <c r="A72" s="68"/>
      <c r="B72" s="117"/>
      <c r="C72" s="126"/>
      <c r="D72" s="119"/>
      <c r="E72" s="119"/>
      <c r="F72" s="119"/>
      <c r="G72" s="68"/>
      <c r="H72" s="68"/>
    </row>
    <row r="73">
      <c r="A73" s="68"/>
      <c r="B73" s="117"/>
      <c r="C73" s="126"/>
      <c r="D73" s="119"/>
      <c r="E73" s="119"/>
      <c r="F73" s="119"/>
      <c r="G73" s="68"/>
      <c r="H73" s="68"/>
    </row>
    <row r="74">
      <c r="A74" s="68"/>
      <c r="B74" s="117"/>
      <c r="C74" s="126"/>
      <c r="D74" s="119"/>
      <c r="E74" s="119"/>
      <c r="F74" s="119"/>
      <c r="G74" s="68"/>
      <c r="H74" s="68"/>
    </row>
    <row r="75">
      <c r="A75" s="68"/>
      <c r="B75" s="117"/>
      <c r="C75" s="126"/>
      <c r="D75" s="119"/>
      <c r="E75" s="119"/>
      <c r="F75" s="119"/>
      <c r="G75" s="68"/>
      <c r="H75" s="68"/>
    </row>
    <row r="76">
      <c r="A76" s="68"/>
      <c r="B76" s="117"/>
      <c r="C76" s="126"/>
      <c r="D76" s="119"/>
      <c r="E76" s="119"/>
      <c r="F76" s="119"/>
      <c r="G76" s="68"/>
      <c r="H76" s="68"/>
    </row>
    <row r="77">
      <c r="A77" s="68"/>
      <c r="B77" s="117"/>
      <c r="C77" s="126"/>
      <c r="D77" s="119"/>
      <c r="E77" s="119"/>
      <c r="F77" s="119"/>
      <c r="G77" s="68"/>
      <c r="H77" s="68"/>
    </row>
    <row r="78">
      <c r="A78" s="68"/>
      <c r="B78" s="117"/>
      <c r="C78" s="126"/>
      <c r="D78" s="119"/>
      <c r="E78" s="119"/>
      <c r="F78" s="119"/>
      <c r="G78" s="68"/>
      <c r="H78" s="68"/>
    </row>
    <row r="79">
      <c r="A79" s="68"/>
      <c r="B79" s="117"/>
      <c r="C79" s="126"/>
      <c r="D79" s="119"/>
      <c r="E79" s="119"/>
      <c r="F79" s="119"/>
      <c r="G79" s="68"/>
      <c r="H79" s="68"/>
    </row>
    <row r="80">
      <c r="A80" s="68"/>
      <c r="B80" s="117"/>
      <c r="C80" s="126"/>
      <c r="D80" s="119"/>
      <c r="E80" s="119"/>
      <c r="F80" s="119"/>
      <c r="G80" s="68"/>
      <c r="H80" s="68"/>
    </row>
    <row r="81">
      <c r="A81" s="68"/>
      <c r="B81" s="117"/>
      <c r="C81" s="126"/>
      <c r="D81" s="119"/>
      <c r="E81" s="119"/>
      <c r="F81" s="119"/>
      <c r="G81" s="68"/>
      <c r="H81" s="68"/>
    </row>
    <row r="82">
      <c r="A82" s="68"/>
      <c r="B82" s="117"/>
      <c r="C82" s="126"/>
      <c r="D82" s="119"/>
      <c r="E82" s="119"/>
      <c r="F82" s="119"/>
      <c r="G82" s="68"/>
      <c r="H82" s="68"/>
    </row>
    <row r="83">
      <c r="A83" s="68"/>
      <c r="B83" s="117"/>
      <c r="C83" s="126"/>
      <c r="D83" s="119"/>
      <c r="E83" s="119"/>
      <c r="F83" s="119"/>
      <c r="G83" s="68"/>
      <c r="H83" s="68"/>
    </row>
    <row r="84">
      <c r="A84" s="68"/>
      <c r="B84" s="117"/>
      <c r="C84" s="126"/>
      <c r="D84" s="119"/>
      <c r="E84" s="119"/>
      <c r="F84" s="119"/>
      <c r="G84" s="68"/>
      <c r="H84" s="68"/>
    </row>
    <row r="85">
      <c r="A85" s="68"/>
      <c r="B85" s="117"/>
      <c r="C85" s="126"/>
      <c r="D85" s="119"/>
      <c r="E85" s="119"/>
      <c r="F85" s="119"/>
      <c r="G85" s="68"/>
      <c r="H85" s="68"/>
    </row>
    <row r="86">
      <c r="A86" s="68"/>
      <c r="B86" s="117"/>
      <c r="C86" s="126"/>
      <c r="D86" s="119"/>
      <c r="E86" s="119"/>
      <c r="F86" s="119"/>
      <c r="G86" s="68"/>
      <c r="H86" s="68"/>
    </row>
    <row r="87">
      <c r="A87" s="68"/>
      <c r="B87" s="117"/>
      <c r="C87" s="126"/>
      <c r="D87" s="119"/>
      <c r="E87" s="119"/>
      <c r="F87" s="119"/>
      <c r="G87" s="68"/>
      <c r="H87" s="68"/>
    </row>
    <row r="88">
      <c r="A88" s="68"/>
      <c r="B88" s="117"/>
      <c r="C88" s="126"/>
      <c r="D88" s="119"/>
      <c r="E88" s="119"/>
      <c r="F88" s="119"/>
      <c r="G88" s="68"/>
      <c r="H88" s="68"/>
    </row>
  </sheetData>
  <dataValidations>
    <dataValidation type="list" allowBlank="1" showErrorMessage="1" sqref="C4">
      <formula1>'Aceptance Rate Delta per Indust'!$B$4:$B$40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4" width="16.63"/>
    <col customWidth="1" min="15" max="15" width="41.75"/>
  </cols>
  <sheetData>
    <row r="1" ht="15.0" customHeight="1">
      <c r="A1" s="128"/>
      <c r="B1" s="129"/>
      <c r="C1" s="130"/>
      <c r="D1" s="130"/>
      <c r="E1" s="130"/>
      <c r="F1" s="130"/>
      <c r="G1" s="130"/>
      <c r="H1" s="68"/>
      <c r="I1" s="131"/>
      <c r="J1" s="131"/>
      <c r="K1" s="132"/>
      <c r="L1" s="131"/>
      <c r="M1" s="132"/>
      <c r="N1" s="68"/>
      <c r="O1" s="68"/>
    </row>
    <row r="2">
      <c r="A2" s="133"/>
      <c r="B2" s="134"/>
      <c r="C2" s="135" t="s">
        <v>310</v>
      </c>
      <c r="H2" s="68"/>
      <c r="I2" s="131"/>
      <c r="J2" s="131"/>
      <c r="K2" s="132"/>
      <c r="L2" s="131"/>
      <c r="M2" s="132"/>
      <c r="N2" s="68"/>
      <c r="O2" s="68"/>
    </row>
    <row r="3">
      <c r="A3" s="133"/>
      <c r="B3" s="136" t="s">
        <v>311</v>
      </c>
      <c r="C3" s="137" t="s">
        <v>312</v>
      </c>
      <c r="D3" s="137" t="s">
        <v>313</v>
      </c>
      <c r="E3" s="137" t="s">
        <v>314</v>
      </c>
      <c r="F3" s="137" t="s">
        <v>315</v>
      </c>
      <c r="G3" s="137" t="s">
        <v>316</v>
      </c>
      <c r="H3" s="138" t="s">
        <v>317</v>
      </c>
      <c r="I3" s="131"/>
      <c r="J3" s="138" t="s">
        <v>318</v>
      </c>
      <c r="K3" s="138" t="s">
        <v>318</v>
      </c>
      <c r="L3" s="131"/>
      <c r="M3" s="139" t="s">
        <v>319</v>
      </c>
      <c r="N3" s="68"/>
      <c r="O3" s="68"/>
    </row>
    <row r="4">
      <c r="A4" s="133"/>
      <c r="B4" s="117" t="s">
        <v>320</v>
      </c>
      <c r="C4" s="140">
        <v>0.0914</v>
      </c>
      <c r="D4" s="140">
        <v>0.0493</v>
      </c>
      <c r="E4" s="140">
        <v>0.0293</v>
      </c>
      <c r="F4" s="140">
        <v>0.0279</v>
      </c>
      <c r="G4" s="140">
        <v>0.017</v>
      </c>
      <c r="H4" s="141">
        <f>SUM(C4:G4)</f>
        <v>0.2149</v>
      </c>
      <c r="I4" s="131"/>
      <c r="J4" s="131"/>
      <c r="K4" s="142"/>
      <c r="L4" s="131"/>
      <c r="M4" s="142" t="s">
        <v>321</v>
      </c>
      <c r="N4" s="68"/>
      <c r="O4" s="68"/>
    </row>
    <row r="5">
      <c r="A5" s="133"/>
      <c r="B5" s="143" t="s">
        <v>322</v>
      </c>
      <c r="C5" s="144">
        <f>C4*RESUMEN!$C$13</f>
        <v>1009970000</v>
      </c>
      <c r="D5" s="144">
        <f>D4*RESUMEN!$C$13</f>
        <v>544765000</v>
      </c>
      <c r="E5" s="144">
        <f>E4*RESUMEN!$C$13</f>
        <v>323765000</v>
      </c>
      <c r="F5" s="144">
        <f>F4*RESUMEN!$C$13</f>
        <v>308295000</v>
      </c>
      <c r="G5" s="144">
        <f>G4*RESUMEN!$C$13</f>
        <v>187850000</v>
      </c>
      <c r="H5" s="96"/>
      <c r="I5" s="145"/>
      <c r="J5" s="145"/>
      <c r="K5" s="146"/>
      <c r="L5" s="145"/>
      <c r="M5" s="146"/>
      <c r="N5" s="68"/>
      <c r="O5" s="68"/>
    </row>
    <row r="6">
      <c r="A6" s="133"/>
      <c r="B6" s="134" t="s">
        <v>323</v>
      </c>
      <c r="C6" s="147">
        <v>0.06</v>
      </c>
      <c r="D6" s="147">
        <v>0.06</v>
      </c>
      <c r="E6" s="147">
        <v>0.06</v>
      </c>
      <c r="F6" s="147">
        <v>0.06</v>
      </c>
      <c r="G6" s="147">
        <v>0.06</v>
      </c>
      <c r="H6" s="96"/>
      <c r="I6" s="145"/>
      <c r="J6" s="145"/>
      <c r="K6" s="146"/>
      <c r="L6" s="145"/>
      <c r="M6" s="146"/>
      <c r="N6" s="68"/>
      <c r="O6" s="68"/>
    </row>
    <row r="7" outlineLevel="1">
      <c r="A7" s="133"/>
      <c r="B7" s="148" t="s">
        <v>324</v>
      </c>
      <c r="C7" s="149">
        <f>VLOOKUP(RESUMEN!$C$4,'Aceptance Rate Delta per Indust'!$B$3:$K$40,9,false)</f>
        <v>0.18</v>
      </c>
      <c r="D7" s="149">
        <f>VLOOKUP(RESUMEN!$C$4,'Aceptance Rate Delta per Indust'!$B$3:$K$40,9,false)</f>
        <v>0.18</v>
      </c>
      <c r="E7" s="149">
        <f>VLOOKUP(RESUMEN!$C$4,'Aceptance Rate Delta per Indust'!$B$3:$K$40,9,false)</f>
        <v>0.18</v>
      </c>
      <c r="F7" s="149">
        <f>VLOOKUP(RESUMEN!$C$4,'Aceptance Rate Delta per Indust'!$B$3:$K$40,9,false)</f>
        <v>0.18</v>
      </c>
      <c r="G7" s="149">
        <f>VLOOKUP(RESUMEN!$C$4,'Aceptance Rate Delta per Indust'!$B$3:$K$40,9,false)</f>
        <v>0.18</v>
      </c>
      <c r="H7" s="96"/>
      <c r="I7" s="145"/>
      <c r="J7" s="145"/>
      <c r="K7" s="146"/>
      <c r="L7" s="145"/>
      <c r="M7" s="146"/>
      <c r="N7" s="68"/>
      <c r="O7" s="68"/>
    </row>
    <row r="8" outlineLevel="1">
      <c r="A8" s="133"/>
      <c r="B8" s="150" t="s">
        <v>325</v>
      </c>
      <c r="C8" s="151">
        <f>VLOOKUP(RESUMEN!$C$4,'Aceptance Rate Delta per Indust'!$B$3:$K$40,10,false)</f>
        <v>0.8</v>
      </c>
      <c r="D8" s="151">
        <f>VLOOKUP(RESUMEN!$C$4,'Aceptance Rate Delta per Indust'!$B$3:$K$40,10,false)</f>
        <v>0.8</v>
      </c>
      <c r="E8" s="151">
        <f>VLOOKUP(RESUMEN!$C$4,'Aceptance Rate Delta per Indust'!$B$3:$K$40,10,false)</f>
        <v>0.8</v>
      </c>
      <c r="F8" s="151">
        <f>VLOOKUP(RESUMEN!$C$4,'Aceptance Rate Delta per Indust'!$B$3:$K$40,10,false)</f>
        <v>0.8</v>
      </c>
      <c r="G8" s="151">
        <f>VLOOKUP(RESUMEN!$C$4,'Aceptance Rate Delta per Indust'!$B$3:$K$40,10,false)</f>
        <v>0.8</v>
      </c>
      <c r="H8" s="96"/>
      <c r="I8" s="145"/>
      <c r="J8" s="145"/>
      <c r="K8" s="146"/>
      <c r="L8" s="145"/>
      <c r="M8" s="146"/>
      <c r="N8" s="68"/>
      <c r="O8" s="68"/>
    </row>
    <row r="9">
      <c r="A9" s="133"/>
      <c r="B9" s="117" t="s">
        <v>326</v>
      </c>
      <c r="C9" s="144">
        <f t="shared" ref="C9:G9" si="1">(ROUND(C5*C6,0))</f>
        <v>60598200</v>
      </c>
      <c r="D9" s="144">
        <f t="shared" si="1"/>
        <v>32685900</v>
      </c>
      <c r="E9" s="144">
        <f t="shared" si="1"/>
        <v>19425900</v>
      </c>
      <c r="F9" s="144">
        <f t="shared" si="1"/>
        <v>18497700</v>
      </c>
      <c r="G9" s="144">
        <f t="shared" si="1"/>
        <v>11271000</v>
      </c>
      <c r="H9" s="96"/>
      <c r="I9" s="145"/>
      <c r="J9" s="145"/>
      <c r="K9" s="146"/>
      <c r="L9" s="145"/>
      <c r="M9" s="146"/>
      <c r="N9" s="68"/>
      <c r="O9" s="68"/>
    </row>
    <row r="10" outlineLevel="1">
      <c r="A10" s="133"/>
      <c r="B10" s="134" t="s">
        <v>327</v>
      </c>
      <c r="C10" s="152">
        <v>5.4</v>
      </c>
      <c r="D10" s="152">
        <v>8.5</v>
      </c>
      <c r="E10" s="152">
        <v>10.0</v>
      </c>
      <c r="F10" s="152">
        <v>10.0</v>
      </c>
      <c r="G10" s="152">
        <v>4.5</v>
      </c>
      <c r="H10" s="96"/>
      <c r="I10" s="153"/>
      <c r="J10" s="153"/>
      <c r="K10" s="153"/>
      <c r="L10" s="153"/>
      <c r="M10" s="153" t="s">
        <v>328</v>
      </c>
      <c r="N10" s="68"/>
      <c r="O10" s="68"/>
    </row>
    <row r="11" outlineLevel="1">
      <c r="A11" s="133"/>
      <c r="B11" s="154" t="s">
        <v>329</v>
      </c>
      <c r="C11" s="155">
        <f>(RESUMEN!$C$13*C4*C6*C10)/1000000</f>
        <v>327.23028</v>
      </c>
      <c r="D11" s="155">
        <f>(RESUMEN!$C$13*D4*D6*D10)/1000000</f>
        <v>277.83015</v>
      </c>
      <c r="E11" s="155">
        <f>(RESUMEN!$C$13*E4*E6*E10)/1000000</f>
        <v>194.259</v>
      </c>
      <c r="F11" s="155">
        <f>(RESUMEN!$C$13*F4*F6*F10)/1000000</f>
        <v>184.977</v>
      </c>
      <c r="G11" s="155">
        <f>(RESUMEN!$C$13*G4*G6*G10)/1000000</f>
        <v>50.7195</v>
      </c>
      <c r="H11" s="156">
        <f>SUM(C11:G11)</f>
        <v>1035.01593</v>
      </c>
      <c r="I11" s="145"/>
      <c r="J11" s="145"/>
      <c r="K11" s="146"/>
      <c r="L11" s="145"/>
      <c r="M11" s="146"/>
      <c r="N11" s="68"/>
      <c r="O11" s="68"/>
    </row>
    <row r="12">
      <c r="A12" s="133"/>
      <c r="B12" s="148" t="s">
        <v>330</v>
      </c>
      <c r="C12" s="157">
        <v>0.8</v>
      </c>
      <c r="D12" s="157">
        <v>0.9</v>
      </c>
      <c r="E12" s="157">
        <v>0.95</v>
      </c>
      <c r="F12" s="157">
        <v>0.88</v>
      </c>
      <c r="G12" s="157">
        <v>0.93</v>
      </c>
      <c r="H12" s="96"/>
      <c r="K12" s="153"/>
      <c r="M12" s="153" t="s">
        <v>331</v>
      </c>
      <c r="N12" s="68"/>
      <c r="O12" s="68"/>
    </row>
    <row r="13">
      <c r="A13" s="133"/>
      <c r="B13" s="154" t="s">
        <v>332</v>
      </c>
      <c r="C13" s="158">
        <f t="shared" ref="C13:F13" si="2">(C12*C11)</f>
        <v>261.784224</v>
      </c>
      <c r="D13" s="158">
        <f t="shared" si="2"/>
        <v>250.047135</v>
      </c>
      <c r="E13" s="158">
        <f t="shared" si="2"/>
        <v>184.54605</v>
      </c>
      <c r="F13" s="158">
        <f t="shared" si="2"/>
        <v>162.77976</v>
      </c>
      <c r="G13" s="158">
        <f>G12*G11</f>
        <v>47.169135</v>
      </c>
      <c r="H13" s="159">
        <f>SUM(C13:G13)</f>
        <v>906.326304</v>
      </c>
      <c r="K13" s="153"/>
      <c r="M13" s="153" t="s">
        <v>333</v>
      </c>
      <c r="N13" s="96"/>
      <c r="O13" s="96"/>
    </row>
    <row r="14">
      <c r="A14" s="133"/>
      <c r="B14" s="134" t="s">
        <v>334</v>
      </c>
      <c r="C14" s="160">
        <f t="shared" ref="C14:G14" si="3">1-C12</f>
        <v>0.2</v>
      </c>
      <c r="D14" s="160">
        <f t="shared" si="3"/>
        <v>0.1</v>
      </c>
      <c r="E14" s="160">
        <f t="shared" si="3"/>
        <v>0.05</v>
      </c>
      <c r="F14" s="160">
        <f t="shared" si="3"/>
        <v>0.12</v>
      </c>
      <c r="G14" s="160">
        <f t="shared" si="3"/>
        <v>0.07</v>
      </c>
      <c r="H14" s="96"/>
      <c r="K14" s="153"/>
      <c r="M14" s="153" t="s">
        <v>335</v>
      </c>
      <c r="N14" s="96"/>
      <c r="O14" s="96"/>
    </row>
    <row r="15">
      <c r="A15" s="133"/>
      <c r="B15" s="161" t="s">
        <v>336</v>
      </c>
      <c r="C15" s="162">
        <f t="shared" ref="C15:G15" si="4">C14*C11</f>
        <v>65.446056</v>
      </c>
      <c r="D15" s="162">
        <f t="shared" si="4"/>
        <v>27.783015</v>
      </c>
      <c r="E15" s="162">
        <f t="shared" si="4"/>
        <v>9.71295</v>
      </c>
      <c r="F15" s="162">
        <f t="shared" si="4"/>
        <v>22.19724</v>
      </c>
      <c r="G15" s="162">
        <f t="shared" si="4"/>
        <v>3.550365</v>
      </c>
      <c r="H15" s="96"/>
      <c r="K15" s="145"/>
      <c r="M15" s="145"/>
      <c r="N15" s="96"/>
      <c r="O15" s="96"/>
    </row>
    <row r="16">
      <c r="A16" s="133"/>
      <c r="K16" s="163"/>
      <c r="M16" s="163"/>
    </row>
    <row r="17">
      <c r="A17" s="133"/>
      <c r="B17" s="164" t="s">
        <v>337</v>
      </c>
      <c r="C17" s="165"/>
      <c r="D17" s="165"/>
      <c r="E17" s="165"/>
      <c r="F17" s="165"/>
      <c r="G17" s="165"/>
      <c r="H17" s="96"/>
      <c r="K17" s="131"/>
      <c r="M17" s="131"/>
      <c r="N17" s="96"/>
      <c r="O17" s="96"/>
    </row>
    <row r="18">
      <c r="A18" s="133"/>
      <c r="B18" s="166" t="s">
        <v>338</v>
      </c>
      <c r="C18" s="167">
        <f>AVERAGE(VLOOKUP(RESUMEN!$C$4, 'Aceptance Rate Delta per Indust'!$B$3:$E$40, 3, FALSE), VLOOKUP(RESUMEN!$C$4, 'Aceptance Rate Delta per Indust'!$B$3:$E$40, 4, FALSE))</f>
        <v>0.02</v>
      </c>
      <c r="D18" s="167">
        <f>AVERAGE(VLOOKUP(RESUMEN!$C$4, 'Aceptance Rate Delta per Indust'!$B$3:$E$40, 3, FALSE), VLOOKUP(RESUMEN!$C$4, 'Aceptance Rate Delta per Indust'!$B$3:$E$40, 4, FALSE))</f>
        <v>0.02</v>
      </c>
      <c r="E18" s="167">
        <f>AVERAGE(VLOOKUP(RESUMEN!$C$4, 'Aceptance Rate Delta per Indust'!$B$3:$E$40, 3, FALSE), VLOOKUP(RESUMEN!$C$4, 'Aceptance Rate Delta per Indust'!$B$3:$E$40, 4, FALSE))</f>
        <v>0.02</v>
      </c>
      <c r="F18" s="167">
        <f>AVERAGE(VLOOKUP(RESUMEN!$C$4, 'Aceptance Rate Delta per Indust'!$B$3:$E$40, 3, FALSE), VLOOKUP(RESUMEN!$C$4, 'Aceptance Rate Delta per Indust'!$B$3:$E$40, 4, FALSE))</f>
        <v>0.02</v>
      </c>
      <c r="G18" s="167">
        <f>AVERAGE(VLOOKUP(RESUMEN!$C$4, 'Aceptance Rate Delta per Indust'!$B$3:$E$40, 3, FALSE), VLOOKUP(RESUMEN!$C$4, 'Aceptance Rate Delta per Indust'!$B$3:$E$40, 4, FALSE))</f>
        <v>0.02</v>
      </c>
      <c r="H18" s="168" t="s">
        <v>20</v>
      </c>
      <c r="K18" s="169"/>
      <c r="M18" s="169"/>
      <c r="N18" s="96"/>
      <c r="O18" s="96"/>
    </row>
    <row r="19">
      <c r="A19" s="133"/>
      <c r="B19" s="170" t="s">
        <v>339</v>
      </c>
      <c r="C19" s="171">
        <f t="shared" ref="C19:G19" si="5">C13*C18</f>
        <v>5.23568448</v>
      </c>
      <c r="D19" s="171">
        <f t="shared" si="5"/>
        <v>5.0009427</v>
      </c>
      <c r="E19" s="171">
        <f t="shared" si="5"/>
        <v>3.690921</v>
      </c>
      <c r="F19" s="171">
        <f t="shared" si="5"/>
        <v>3.2555952</v>
      </c>
      <c r="G19" s="171">
        <f t="shared" si="5"/>
        <v>0.9433827</v>
      </c>
      <c r="H19" s="172">
        <f t="shared" ref="H19:H20" si="6">SUM(C19:G19)</f>
        <v>18.12652608</v>
      </c>
      <c r="J19" s="172">
        <f t="shared" ref="J19:J20" si="7">rounddown(H19-1,0)</f>
        <v>17</v>
      </c>
      <c r="K19" s="172">
        <f t="shared" ref="K19:K20" si="8">ROUNDUP(H19-1,0)+1</f>
        <v>19</v>
      </c>
      <c r="M19" s="153" t="s">
        <v>333</v>
      </c>
      <c r="N19" s="96"/>
      <c r="O19" s="96"/>
    </row>
    <row r="20">
      <c r="A20" s="133"/>
      <c r="B20" s="173" t="s">
        <v>340</v>
      </c>
      <c r="C20" s="174">
        <f>C19*RESUMEN!$C$15</f>
        <v>3.141410688</v>
      </c>
      <c r="D20" s="174">
        <f>D19*RESUMEN!$C$15</f>
        <v>3.00056562</v>
      </c>
      <c r="E20" s="174">
        <f>E19*RESUMEN!$C$15</f>
        <v>2.2145526</v>
      </c>
      <c r="F20" s="174">
        <f>F19*RESUMEN!$C$15</f>
        <v>1.95335712</v>
      </c>
      <c r="G20" s="174">
        <f>G19*RESUMEN!$C$15</f>
        <v>0.56602962</v>
      </c>
      <c r="H20" s="172">
        <f t="shared" si="6"/>
        <v>10.87591565</v>
      </c>
      <c r="J20" s="172">
        <f t="shared" si="7"/>
        <v>9</v>
      </c>
      <c r="K20" s="172">
        <f t="shared" si="8"/>
        <v>11</v>
      </c>
      <c r="M20" s="153" t="s">
        <v>333</v>
      </c>
      <c r="N20" s="96"/>
      <c r="O20" s="96"/>
    </row>
    <row r="21">
      <c r="A21" s="133"/>
      <c r="B21" s="68"/>
      <c r="C21" s="175"/>
      <c r="D21" s="175"/>
      <c r="E21" s="175"/>
      <c r="F21" s="175"/>
      <c r="G21" s="175"/>
      <c r="H21" s="176"/>
      <c r="K21" s="131"/>
      <c r="M21" s="131"/>
      <c r="N21" s="96"/>
      <c r="O21" s="96"/>
    </row>
    <row r="22">
      <c r="A22" s="133"/>
      <c r="B22" s="177" t="s">
        <v>341</v>
      </c>
      <c r="C22" s="178">
        <f t="shared" ref="C22:G22" si="9">C$11*C12+C19</f>
        <v>267.0199085</v>
      </c>
      <c r="D22" s="178">
        <f t="shared" si="9"/>
        <v>255.0480777</v>
      </c>
      <c r="E22" s="178">
        <f t="shared" si="9"/>
        <v>188.236971</v>
      </c>
      <c r="F22" s="178">
        <f t="shared" si="9"/>
        <v>166.0353552</v>
      </c>
      <c r="G22" s="178">
        <f t="shared" si="9"/>
        <v>48.1125177</v>
      </c>
      <c r="H22" s="68"/>
      <c r="K22" s="131"/>
      <c r="M22" s="131"/>
      <c r="N22" s="96"/>
      <c r="O22" s="96"/>
    </row>
    <row r="23">
      <c r="A23" s="133"/>
      <c r="B23" s="179" t="s">
        <v>342</v>
      </c>
      <c r="C23" s="180" t="s">
        <v>343</v>
      </c>
      <c r="D23" s="181" t="s">
        <v>343</v>
      </c>
      <c r="E23" s="181" t="s">
        <v>343</v>
      </c>
      <c r="F23" s="181" t="s">
        <v>343</v>
      </c>
      <c r="G23" s="181" t="s">
        <v>343</v>
      </c>
      <c r="H23" s="68"/>
      <c r="K23" s="153"/>
      <c r="M23" s="153" t="s">
        <v>344</v>
      </c>
      <c r="N23" s="68"/>
      <c r="O23" s="68"/>
    </row>
    <row r="24">
      <c r="A24" s="133"/>
      <c r="B24" s="182" t="s">
        <v>345</v>
      </c>
      <c r="C24" s="149">
        <f>if(C23="Yes",VLOOKUP(RESUMEN!$C$4,'Aceptance Rate Delta per Indust'!$B$3:$G$40,5,FALSE),VLOOKUP(RESUMEN!$C$4,'Aceptance Rate Delta per Indust'!$B$3:$G$40,6,FALSE))</f>
        <v>0.04</v>
      </c>
      <c r="D24" s="149">
        <f>if(D23="Yes",VLOOKUP(RESUMEN!$C$4,'Aceptance Rate Delta per Indust'!$B$3:$G$40,5,FALSE),VLOOKUP(RESUMEN!$C$4,'Aceptance Rate Delta per Indust'!$B$3:$G$40,6,FALSE))</f>
        <v>0.04</v>
      </c>
      <c r="E24" s="149">
        <f>if(E23="Yes",VLOOKUP(RESUMEN!$C$4,'Aceptance Rate Delta per Indust'!$B$3:$G$40,5,FALSE),VLOOKUP(RESUMEN!$C$4,'Aceptance Rate Delta per Indust'!$B$3:$G$40,6,FALSE))</f>
        <v>0.04</v>
      </c>
      <c r="F24" s="149">
        <f>if(F23="Yes",VLOOKUP(RESUMEN!$C$4,'Aceptance Rate Delta per Indust'!$B$3:$G$40,5,FALSE),VLOOKUP(RESUMEN!$C$4,'Aceptance Rate Delta per Indust'!$B$3:$G$40,6,FALSE))</f>
        <v>0.04</v>
      </c>
      <c r="G24" s="149">
        <f>if(G23="Yes",VLOOKUP(RESUMEN!$C$4,'Aceptance Rate Delta per Indust'!$B$3:$G$40,5,FALSE),VLOOKUP(RESUMEN!$C$4,'Aceptance Rate Delta per Indust'!$B$3:$G$40,6,FALSE))</f>
        <v>0.04</v>
      </c>
      <c r="H24" s="68"/>
      <c r="I24" s="131"/>
      <c r="J24" s="131"/>
      <c r="K24" s="142"/>
      <c r="L24" s="131"/>
      <c r="M24" s="142" t="s">
        <v>346</v>
      </c>
      <c r="N24" s="68"/>
      <c r="O24" s="68"/>
    </row>
    <row r="25">
      <c r="A25" s="128"/>
      <c r="B25" s="183" t="s">
        <v>347</v>
      </c>
      <c r="C25" s="184">
        <f t="shared" ref="C25:G25" si="10">IFS(C23="Yes",-0.2%,C23="No",-1%)</f>
        <v>-0.01</v>
      </c>
      <c r="D25" s="184">
        <f t="shared" si="10"/>
        <v>-0.01</v>
      </c>
      <c r="E25" s="184">
        <f t="shared" si="10"/>
        <v>-0.01</v>
      </c>
      <c r="F25" s="184">
        <f t="shared" si="10"/>
        <v>-0.01</v>
      </c>
      <c r="G25" s="184">
        <f t="shared" si="10"/>
        <v>-0.01</v>
      </c>
      <c r="H25" s="68"/>
      <c r="I25" s="131"/>
      <c r="J25" s="131"/>
      <c r="K25" s="142"/>
      <c r="L25" s="131"/>
      <c r="M25" s="142" t="s">
        <v>348</v>
      </c>
      <c r="N25" s="68"/>
      <c r="O25" s="68"/>
    </row>
    <row r="26">
      <c r="A26" s="128"/>
      <c r="B26" s="185" t="s">
        <v>349</v>
      </c>
      <c r="C26" s="186">
        <f t="shared" ref="C26:G26" si="11">C24+C25</f>
        <v>0.03</v>
      </c>
      <c r="D26" s="186">
        <f t="shared" si="11"/>
        <v>0.03</v>
      </c>
      <c r="E26" s="186">
        <f t="shared" si="11"/>
        <v>0.03</v>
      </c>
      <c r="F26" s="186">
        <f t="shared" si="11"/>
        <v>0.03</v>
      </c>
      <c r="G26" s="186">
        <f t="shared" si="11"/>
        <v>0.03</v>
      </c>
      <c r="H26" s="68"/>
      <c r="I26" s="169"/>
      <c r="J26" s="169"/>
      <c r="K26" s="132"/>
      <c r="L26" s="169"/>
      <c r="M26" s="132"/>
      <c r="N26" s="68"/>
      <c r="O26" s="68"/>
    </row>
    <row r="27">
      <c r="A27" s="128"/>
      <c r="B27" s="187" t="s">
        <v>350</v>
      </c>
      <c r="C27" s="188">
        <f t="shared" ref="C27:G27" si="12">C25*C22*-1</f>
        <v>2.670199085</v>
      </c>
      <c r="D27" s="188">
        <f t="shared" si="12"/>
        <v>2.550480777</v>
      </c>
      <c r="E27" s="189">
        <f t="shared" si="12"/>
        <v>1.88236971</v>
      </c>
      <c r="F27" s="188">
        <f t="shared" si="12"/>
        <v>1.660353552</v>
      </c>
      <c r="G27" s="188">
        <f t="shared" si="12"/>
        <v>0.481125177</v>
      </c>
      <c r="H27" s="188">
        <f>SUM(C27:G27)</f>
        <v>9.244528301</v>
      </c>
      <c r="I27" s="190" t="s">
        <v>20</v>
      </c>
      <c r="J27" s="172">
        <f>rounddown(H27-1,0)</f>
        <v>8</v>
      </c>
      <c r="K27" s="172">
        <f>ROUNDUP(H27-1,0)+1</f>
        <v>10</v>
      </c>
      <c r="L27" s="153"/>
      <c r="M27" s="153" t="s">
        <v>333</v>
      </c>
      <c r="N27" s="68"/>
      <c r="O27" s="68"/>
    </row>
    <row r="28">
      <c r="A28" s="128"/>
      <c r="B28" s="68"/>
      <c r="C28" s="176"/>
      <c r="D28" s="176"/>
      <c r="E28" s="175"/>
      <c r="F28" s="175"/>
      <c r="G28" s="175"/>
      <c r="H28" s="68"/>
      <c r="I28" s="169"/>
      <c r="J28" s="169"/>
      <c r="K28" s="132"/>
      <c r="L28" s="169"/>
      <c r="M28" s="132"/>
      <c r="N28" s="68"/>
      <c r="O28" s="68"/>
    </row>
    <row r="29">
      <c r="A29" s="128"/>
      <c r="B29" s="187" t="s">
        <v>351</v>
      </c>
      <c r="C29" s="191">
        <f t="shared" ref="C29:G29" si="13">C27+C20</f>
        <v>5.811609773</v>
      </c>
      <c r="D29" s="191">
        <f t="shared" si="13"/>
        <v>5.551046397</v>
      </c>
      <c r="E29" s="192">
        <f t="shared" si="13"/>
        <v>4.09692231</v>
      </c>
      <c r="F29" s="191">
        <f t="shared" si="13"/>
        <v>3.613710672</v>
      </c>
      <c r="G29" s="191">
        <f t="shared" si="13"/>
        <v>1.047154797</v>
      </c>
      <c r="H29" s="193">
        <f>SUM(C29:G29)</f>
        <v>20.12044395</v>
      </c>
      <c r="I29" s="169"/>
      <c r="J29" s="169" t="s">
        <v>20</v>
      </c>
      <c r="K29" s="142"/>
      <c r="L29" s="169"/>
      <c r="M29" s="142" t="s">
        <v>352</v>
      </c>
      <c r="N29" s="68"/>
      <c r="O29" s="68"/>
    </row>
    <row r="30">
      <c r="A30" s="128"/>
      <c r="B30" s="68"/>
      <c r="C30" s="175"/>
      <c r="D30" s="175"/>
      <c r="E30" s="175"/>
      <c r="F30" s="175"/>
      <c r="G30" s="175"/>
      <c r="H30" s="68"/>
      <c r="I30" s="194"/>
      <c r="J30" s="194"/>
      <c r="K30" s="132"/>
      <c r="L30" s="194"/>
      <c r="M30" s="132"/>
      <c r="N30" s="68"/>
      <c r="O30" s="68"/>
    </row>
    <row r="31">
      <c r="A31" s="128"/>
      <c r="B31" s="164" t="s">
        <v>353</v>
      </c>
      <c r="C31" s="195" t="s">
        <v>354</v>
      </c>
      <c r="D31" s="195" t="s">
        <v>355</v>
      </c>
      <c r="E31" s="195" t="s">
        <v>356</v>
      </c>
      <c r="F31" s="195" t="s">
        <v>357</v>
      </c>
      <c r="G31" s="195" t="s">
        <v>358</v>
      </c>
      <c r="H31" s="176"/>
      <c r="I31" s="196"/>
      <c r="J31" s="196"/>
      <c r="K31" s="142"/>
      <c r="L31" s="196"/>
      <c r="M31" s="142" t="s">
        <v>359</v>
      </c>
      <c r="N31" s="68"/>
      <c r="O31" s="68"/>
    </row>
    <row r="32">
      <c r="A32" s="128"/>
      <c r="B32" s="177" t="s">
        <v>360</v>
      </c>
      <c r="C32" s="178">
        <f t="shared" ref="C32:G32" si="14">C11*C14</f>
        <v>65.446056</v>
      </c>
      <c r="D32" s="178">
        <f t="shared" si="14"/>
        <v>27.783015</v>
      </c>
      <c r="E32" s="178">
        <f t="shared" si="14"/>
        <v>9.71295</v>
      </c>
      <c r="F32" s="178">
        <f t="shared" si="14"/>
        <v>22.19724</v>
      </c>
      <c r="G32" s="178">
        <f t="shared" si="14"/>
        <v>3.550365</v>
      </c>
      <c r="H32" s="176"/>
      <c r="I32" s="194"/>
      <c r="J32" s="194"/>
      <c r="K32" s="132"/>
      <c r="L32" s="194"/>
      <c r="M32" s="132"/>
      <c r="N32" s="68"/>
      <c r="O32" s="68"/>
    </row>
    <row r="33" outlineLevel="1">
      <c r="A33" s="128"/>
      <c r="B33" s="197" t="s">
        <v>361</v>
      </c>
      <c r="C33" s="180">
        <v>0.0</v>
      </c>
      <c r="D33" s="180">
        <v>0.0</v>
      </c>
      <c r="E33" s="180">
        <v>0.0</v>
      </c>
      <c r="F33" s="180">
        <v>0.0</v>
      </c>
      <c r="G33" s="180">
        <v>0.0</v>
      </c>
      <c r="H33" s="176"/>
      <c r="I33" s="194"/>
      <c r="J33" s="194"/>
      <c r="K33" s="142"/>
      <c r="L33" s="194"/>
      <c r="M33" s="142" t="s">
        <v>362</v>
      </c>
      <c r="N33" s="68"/>
      <c r="O33" s="68"/>
    </row>
    <row r="34">
      <c r="A34" s="71"/>
      <c r="B34" s="198" t="s">
        <v>363</v>
      </c>
      <c r="C34" s="199">
        <v>5.0</v>
      </c>
      <c r="D34" s="199">
        <v>5.0</v>
      </c>
      <c r="E34" s="199">
        <v>4.0</v>
      </c>
      <c r="F34" s="199">
        <v>4.0</v>
      </c>
      <c r="G34" s="199">
        <v>3.0</v>
      </c>
      <c r="H34" s="176"/>
      <c r="I34" s="194"/>
      <c r="J34" s="194"/>
      <c r="K34" s="142"/>
      <c r="L34" s="194"/>
      <c r="M34" s="142" t="s">
        <v>364</v>
      </c>
      <c r="N34" s="68"/>
      <c r="O34" s="68"/>
    </row>
    <row r="35">
      <c r="A35" s="128"/>
      <c r="B35" s="197"/>
      <c r="C35" s="200"/>
      <c r="D35" s="200"/>
      <c r="E35" s="200"/>
      <c r="F35" s="200"/>
      <c r="G35" s="200"/>
      <c r="H35" s="176"/>
      <c r="I35" s="194"/>
      <c r="J35" s="194"/>
      <c r="K35" s="132"/>
      <c r="L35" s="194"/>
      <c r="M35" s="132"/>
      <c r="N35" s="68"/>
      <c r="O35" s="68"/>
    </row>
    <row r="36">
      <c r="A36" s="71"/>
      <c r="B36" s="198" t="s">
        <v>365</v>
      </c>
      <c r="C36" s="201">
        <v>0.08</v>
      </c>
      <c r="D36" s="201">
        <v>0.09</v>
      </c>
      <c r="E36" s="201">
        <v>0.15</v>
      </c>
      <c r="F36" s="201">
        <v>0.13</v>
      </c>
      <c r="G36" s="201">
        <v>0.12</v>
      </c>
      <c r="I36" s="194"/>
      <c r="J36" s="194"/>
      <c r="K36" s="142"/>
      <c r="L36" s="194"/>
      <c r="M36" s="142" t="s">
        <v>366</v>
      </c>
      <c r="N36" s="68"/>
      <c r="O36" s="68"/>
    </row>
    <row r="37">
      <c r="A37" s="128"/>
      <c r="B37" s="202" t="s">
        <v>367</v>
      </c>
      <c r="C37" s="203">
        <f t="shared" ref="C37:G37" si="15">((1+C35)+(1+C36)-1)*C11-C11</f>
        <v>26.1784224</v>
      </c>
      <c r="D37" s="203">
        <f t="shared" si="15"/>
        <v>25.0047135</v>
      </c>
      <c r="E37" s="203">
        <f t="shared" si="15"/>
        <v>29.13885</v>
      </c>
      <c r="F37" s="203">
        <f t="shared" si="15"/>
        <v>24.04701</v>
      </c>
      <c r="G37" s="203">
        <f t="shared" si="15"/>
        <v>6.08634</v>
      </c>
      <c r="H37" s="203">
        <f>SUM(C37:G37)</f>
        <v>110.4553359</v>
      </c>
      <c r="I37" s="131"/>
      <c r="J37" s="172">
        <f>rounddown(H37-1,0)</f>
        <v>109</v>
      </c>
      <c r="K37" s="172">
        <f>ROUNDUP(H37-1,0)+1</f>
        <v>111</v>
      </c>
      <c r="L37" s="131"/>
      <c r="M37" s="153" t="s">
        <v>333</v>
      </c>
      <c r="N37" s="68"/>
      <c r="O37" s="68"/>
    </row>
    <row r="38">
      <c r="A38" s="128"/>
      <c r="B38" s="68"/>
      <c r="C38" s="204"/>
      <c r="D38" s="204"/>
      <c r="E38" s="204"/>
      <c r="F38" s="204"/>
      <c r="G38" s="204"/>
      <c r="H38" s="205"/>
      <c r="I38" s="194"/>
      <c r="J38" s="194"/>
      <c r="K38" s="132"/>
      <c r="L38" s="194"/>
      <c r="M38" s="132"/>
      <c r="N38" s="68"/>
      <c r="O38" s="68"/>
    </row>
    <row r="39">
      <c r="A39" s="128"/>
      <c r="B39" s="187" t="s">
        <v>368</v>
      </c>
      <c r="C39" s="206">
        <f>C37*RESUMEN!$C$15</f>
        <v>15.70705344</v>
      </c>
      <c r="D39" s="206">
        <f>D37*RESUMEN!$C$15</f>
        <v>15.0028281</v>
      </c>
      <c r="E39" s="206">
        <f>E37*RESUMEN!$C$15</f>
        <v>17.48331</v>
      </c>
      <c r="F39" s="206">
        <f>F37*RESUMEN!$C$15</f>
        <v>14.428206</v>
      </c>
      <c r="G39" s="206">
        <f>G37*RESUMEN!$C$15</f>
        <v>3.651804</v>
      </c>
      <c r="H39" s="203">
        <f>SUM(C39:G39)</f>
        <v>66.27320154</v>
      </c>
      <c r="I39" s="190"/>
      <c r="J39" s="172">
        <f>rounddown(H39-1,0)</f>
        <v>65</v>
      </c>
      <c r="K39" s="172">
        <f>ROUNDUP(H39-1,0)+1</f>
        <v>67</v>
      </c>
      <c r="L39" s="190"/>
      <c r="M39" s="153" t="s">
        <v>333</v>
      </c>
      <c r="N39" s="68"/>
      <c r="O39" s="68"/>
    </row>
    <row r="40">
      <c r="A40" s="128"/>
      <c r="B40" s="68"/>
      <c r="C40" s="175"/>
      <c r="D40" s="175"/>
      <c r="E40" s="175"/>
      <c r="F40" s="175"/>
      <c r="G40" s="175"/>
      <c r="H40" s="176"/>
      <c r="I40" s="194"/>
      <c r="J40" s="194"/>
      <c r="K40" s="132"/>
      <c r="L40" s="194"/>
      <c r="M40" s="132"/>
      <c r="N40" s="68"/>
      <c r="O40" s="68"/>
    </row>
    <row r="41">
      <c r="A41" s="128"/>
      <c r="B41" s="197" t="s">
        <v>369</v>
      </c>
      <c r="C41" s="207">
        <v>0.03</v>
      </c>
      <c r="D41" s="207">
        <v>0.04</v>
      </c>
      <c r="E41" s="207">
        <v>0.05</v>
      </c>
      <c r="F41" s="207">
        <v>0.05</v>
      </c>
      <c r="G41" s="207">
        <v>0.05</v>
      </c>
      <c r="H41" s="176"/>
      <c r="I41" s="194"/>
      <c r="J41" s="194"/>
      <c r="K41" s="142"/>
      <c r="L41" s="194"/>
      <c r="M41" s="142" t="s">
        <v>370</v>
      </c>
      <c r="N41" s="68"/>
      <c r="O41" s="68"/>
    </row>
    <row r="42">
      <c r="A42" s="128"/>
      <c r="B42" s="208" t="s">
        <v>371</v>
      </c>
      <c r="C42" s="209">
        <f t="shared" ref="C42:G42" si="16">C41*C11</f>
        <v>9.8169084</v>
      </c>
      <c r="D42" s="209">
        <f t="shared" si="16"/>
        <v>11.113206</v>
      </c>
      <c r="E42" s="209">
        <f t="shared" si="16"/>
        <v>9.71295</v>
      </c>
      <c r="F42" s="209">
        <f t="shared" si="16"/>
        <v>9.24885</v>
      </c>
      <c r="G42" s="209">
        <f t="shared" si="16"/>
        <v>2.535975</v>
      </c>
      <c r="H42" s="176"/>
      <c r="I42" s="194"/>
      <c r="J42" s="194"/>
      <c r="K42" s="132"/>
      <c r="L42" s="194"/>
      <c r="M42" s="132"/>
      <c r="N42" s="68"/>
      <c r="O42" s="68"/>
    </row>
    <row r="43">
      <c r="A43" s="128"/>
      <c r="B43" s="68"/>
      <c r="C43" s="175"/>
      <c r="D43" s="175"/>
      <c r="E43" s="175"/>
      <c r="F43" s="175"/>
      <c r="G43" s="175"/>
      <c r="H43" s="176"/>
      <c r="I43" s="194"/>
      <c r="J43" s="194"/>
      <c r="K43" s="132"/>
      <c r="L43" s="194"/>
      <c r="M43" s="132"/>
      <c r="N43" s="68"/>
      <c r="O43" s="68"/>
    </row>
    <row r="44">
      <c r="A44" s="128"/>
      <c r="B44" s="185" t="s">
        <v>372</v>
      </c>
      <c r="C44" s="210">
        <f t="shared" ref="C44:G44" si="17">C24</f>
        <v>0.04</v>
      </c>
      <c r="D44" s="210">
        <f t="shared" si="17"/>
        <v>0.04</v>
      </c>
      <c r="E44" s="210">
        <f t="shared" si="17"/>
        <v>0.04</v>
      </c>
      <c r="F44" s="210">
        <f t="shared" si="17"/>
        <v>0.04</v>
      </c>
      <c r="G44" s="210">
        <f t="shared" si="17"/>
        <v>0.04</v>
      </c>
      <c r="H44" s="176"/>
      <c r="I44" s="194"/>
      <c r="J44" s="194"/>
      <c r="K44" s="132"/>
      <c r="L44" s="194"/>
      <c r="M44" s="132"/>
      <c r="N44" s="68"/>
      <c r="O44" s="68"/>
    </row>
    <row r="45">
      <c r="A45" s="128"/>
      <c r="B45" s="211" t="s">
        <v>373</v>
      </c>
      <c r="C45" s="212">
        <v>0.012</v>
      </c>
      <c r="D45" s="212">
        <v>0.012</v>
      </c>
      <c r="E45" s="212">
        <v>0.012</v>
      </c>
      <c r="F45" s="212">
        <v>0.012</v>
      </c>
      <c r="G45" s="212">
        <v>0.012</v>
      </c>
      <c r="H45" s="176"/>
      <c r="I45" s="194"/>
      <c r="J45" s="194"/>
      <c r="K45" s="132"/>
      <c r="L45" s="194"/>
      <c r="M45" s="132"/>
      <c r="N45" s="68"/>
      <c r="O45" s="68"/>
    </row>
    <row r="46">
      <c r="A46" s="128"/>
      <c r="B46" s="68"/>
      <c r="C46" s="130"/>
      <c r="D46" s="130"/>
      <c r="E46" s="130"/>
      <c r="F46" s="130"/>
      <c r="G46" s="130"/>
      <c r="H46" s="176"/>
      <c r="I46" s="194"/>
      <c r="J46" s="194"/>
      <c r="K46" s="132"/>
      <c r="L46" s="194"/>
      <c r="M46" s="132"/>
      <c r="N46" s="68"/>
      <c r="O46" s="68"/>
    </row>
    <row r="47">
      <c r="A47" s="128"/>
      <c r="B47" s="187" t="s">
        <v>374</v>
      </c>
      <c r="C47" s="203">
        <f t="shared" ref="C47:G47" si="18">(C42+C37)*(C44-C45)</f>
        <v>1.007869262</v>
      </c>
      <c r="D47" s="203">
        <f t="shared" si="18"/>
        <v>1.011301746</v>
      </c>
      <c r="E47" s="203">
        <f t="shared" si="18"/>
        <v>1.0878504</v>
      </c>
      <c r="F47" s="203">
        <f t="shared" si="18"/>
        <v>0.93228408</v>
      </c>
      <c r="G47" s="203">
        <f t="shared" si="18"/>
        <v>0.24142482</v>
      </c>
      <c r="H47" s="203">
        <f>SUM(C47:G47)</f>
        <v>4.280730308</v>
      </c>
      <c r="I47" s="190"/>
      <c r="J47" s="213">
        <f>if(H47&gt;1,ROUNDUP(H47-1,0),H47)</f>
        <v>4</v>
      </c>
      <c r="K47" s="213">
        <f>if(H47&gt;1,ROUNDUP(H47-1,0),H47)+2</f>
        <v>6</v>
      </c>
      <c r="L47" s="190"/>
      <c r="M47" s="153" t="s">
        <v>333</v>
      </c>
      <c r="N47" s="68"/>
      <c r="O47" s="68"/>
    </row>
    <row r="48">
      <c r="A48" s="128"/>
      <c r="B48" s="68"/>
      <c r="C48" s="96"/>
      <c r="D48" s="96"/>
      <c r="E48" s="96"/>
      <c r="F48" s="96"/>
      <c r="G48" s="96"/>
      <c r="H48" s="176"/>
      <c r="I48" s="169"/>
      <c r="J48" s="169"/>
      <c r="K48" s="132"/>
      <c r="L48" s="169"/>
      <c r="M48" s="132"/>
      <c r="N48" s="68"/>
      <c r="O48" s="68"/>
    </row>
    <row r="49">
      <c r="A49" s="128"/>
      <c r="B49" s="187" t="s">
        <v>375</v>
      </c>
      <c r="C49" s="214">
        <f t="shared" ref="C49:G49" si="19">C47+C39</f>
        <v>16.7149227</v>
      </c>
      <c r="D49" s="214">
        <f t="shared" si="19"/>
        <v>16.01412985</v>
      </c>
      <c r="E49" s="214">
        <f t="shared" si="19"/>
        <v>18.5711604</v>
      </c>
      <c r="F49" s="214">
        <f t="shared" si="19"/>
        <v>15.36049008</v>
      </c>
      <c r="G49" s="214">
        <f t="shared" si="19"/>
        <v>3.89322882</v>
      </c>
      <c r="H49" s="215">
        <f>SUM(C49:G49)</f>
        <v>70.55393185</v>
      </c>
      <c r="I49" s="194"/>
      <c r="J49" s="194"/>
      <c r="K49" s="142"/>
      <c r="L49" s="194"/>
      <c r="M49" s="142" t="s">
        <v>376</v>
      </c>
      <c r="N49" s="68"/>
      <c r="O49" s="68"/>
    </row>
    <row r="50">
      <c r="A50" s="128"/>
      <c r="H50" s="176"/>
      <c r="I50" s="194"/>
      <c r="J50" s="194"/>
      <c r="K50" s="132"/>
      <c r="L50" s="194"/>
      <c r="M50" s="132"/>
      <c r="N50" s="68"/>
      <c r="O50" s="68"/>
    </row>
    <row r="51">
      <c r="A51" s="128"/>
      <c r="H51" s="176"/>
      <c r="I51" s="194"/>
      <c r="J51" s="194"/>
      <c r="K51" s="132"/>
      <c r="L51" s="194"/>
      <c r="M51" s="132"/>
      <c r="N51" s="68"/>
      <c r="O51" s="68"/>
    </row>
    <row r="52">
      <c r="A52" s="128"/>
      <c r="B52" s="68"/>
      <c r="C52" s="175"/>
      <c r="D52" s="175"/>
      <c r="E52" s="175"/>
      <c r="F52" s="175"/>
      <c r="G52" s="175"/>
      <c r="H52" s="176"/>
      <c r="I52" s="194"/>
      <c r="J52" s="194"/>
      <c r="K52" s="132"/>
      <c r="L52" s="194"/>
      <c r="M52" s="132"/>
      <c r="N52" s="68"/>
      <c r="O52" s="68"/>
    </row>
    <row r="53">
      <c r="A53" s="128"/>
      <c r="B53" s="68"/>
      <c r="C53" s="175"/>
      <c r="D53" s="175"/>
      <c r="E53" s="175"/>
      <c r="F53" s="175"/>
      <c r="G53" s="175"/>
      <c r="H53" s="176"/>
      <c r="I53" s="194"/>
      <c r="J53" s="194"/>
      <c r="K53" s="132"/>
      <c r="L53" s="194"/>
      <c r="M53" s="132"/>
      <c r="N53" s="68"/>
      <c r="O53" s="68"/>
    </row>
    <row r="54">
      <c r="A54" s="128"/>
      <c r="B54" s="216"/>
      <c r="C54" s="217"/>
      <c r="D54" s="217"/>
      <c r="E54" s="217"/>
      <c r="F54" s="217"/>
      <c r="G54" s="217"/>
      <c r="H54" s="176"/>
      <c r="I54" s="194"/>
      <c r="J54" s="194"/>
      <c r="K54" s="132"/>
      <c r="L54" s="194"/>
      <c r="M54" s="132"/>
      <c r="N54" s="68"/>
      <c r="O54" s="68"/>
    </row>
    <row r="55">
      <c r="A55" s="128"/>
      <c r="B55" s="216"/>
      <c r="C55" s="217"/>
      <c r="D55" s="217"/>
      <c r="E55" s="217"/>
      <c r="F55" s="217"/>
      <c r="G55" s="217"/>
      <c r="H55" s="176"/>
      <c r="I55" s="194"/>
      <c r="J55" s="194"/>
      <c r="K55" s="132"/>
      <c r="L55" s="194"/>
      <c r="M55" s="132"/>
      <c r="N55" s="68"/>
      <c r="O55" s="68"/>
    </row>
    <row r="56">
      <c r="A56" s="128"/>
      <c r="B56" s="216"/>
      <c r="C56" s="217"/>
      <c r="D56" s="217"/>
      <c r="E56" s="217"/>
      <c r="F56" s="217"/>
      <c r="G56" s="217"/>
      <c r="H56" s="176"/>
      <c r="I56" s="194"/>
      <c r="J56" s="194"/>
      <c r="K56" s="132"/>
      <c r="L56" s="194"/>
      <c r="M56" s="132"/>
      <c r="N56" s="68"/>
      <c r="O56" s="68"/>
    </row>
    <row r="57">
      <c r="A57" s="128"/>
      <c r="B57" s="216"/>
      <c r="C57" s="217"/>
      <c r="D57" s="217"/>
      <c r="E57" s="217"/>
      <c r="F57" s="217"/>
      <c r="G57" s="217"/>
      <c r="H57" s="176"/>
      <c r="I57" s="194"/>
      <c r="J57" s="194"/>
      <c r="K57" s="132"/>
      <c r="L57" s="194"/>
      <c r="M57" s="132"/>
      <c r="N57" s="68"/>
      <c r="O57" s="68"/>
    </row>
    <row r="58">
      <c r="A58" s="128"/>
      <c r="B58" s="216"/>
      <c r="C58" s="217"/>
      <c r="D58" s="217"/>
      <c r="E58" s="217"/>
      <c r="F58" s="217"/>
      <c r="G58" s="217"/>
      <c r="H58" s="176"/>
      <c r="I58" s="194"/>
      <c r="J58" s="194"/>
      <c r="K58" s="132"/>
      <c r="L58" s="194"/>
      <c r="M58" s="132"/>
      <c r="N58" s="68"/>
      <c r="O58" s="68"/>
    </row>
    <row r="59">
      <c r="A59" s="128"/>
      <c r="B59" s="216"/>
      <c r="C59" s="217"/>
      <c r="D59" s="217"/>
      <c r="E59" s="217"/>
      <c r="F59" s="217"/>
      <c r="G59" s="217"/>
      <c r="H59" s="176"/>
      <c r="I59" s="194"/>
      <c r="J59" s="194"/>
      <c r="K59" s="132"/>
      <c r="L59" s="194"/>
      <c r="M59" s="132"/>
      <c r="N59" s="68"/>
      <c r="O59" s="68"/>
    </row>
    <row r="60">
      <c r="A60" s="128"/>
      <c r="B60" s="216"/>
      <c r="C60" s="217"/>
      <c r="D60" s="217"/>
      <c r="E60" s="217"/>
      <c r="F60" s="217"/>
      <c r="G60" s="217"/>
      <c r="H60" s="176"/>
      <c r="I60" s="194"/>
      <c r="J60" s="194"/>
      <c r="K60" s="132"/>
      <c r="L60" s="194"/>
      <c r="M60" s="132"/>
      <c r="N60" s="68"/>
      <c r="O60" s="68"/>
    </row>
    <row r="61">
      <c r="A61" s="128"/>
      <c r="B61" s="216"/>
      <c r="C61" s="217"/>
      <c r="D61" s="217"/>
      <c r="E61" s="217"/>
      <c r="F61" s="217"/>
      <c r="G61" s="217"/>
      <c r="H61" s="176"/>
      <c r="I61" s="194"/>
      <c r="J61" s="194"/>
      <c r="K61" s="132"/>
      <c r="L61" s="194"/>
      <c r="M61" s="132"/>
      <c r="N61" s="68"/>
      <c r="O61" s="68"/>
    </row>
    <row r="62">
      <c r="A62" s="128"/>
      <c r="B62" s="216"/>
      <c r="C62" s="217"/>
      <c r="D62" s="217"/>
      <c r="E62" s="217"/>
      <c r="F62" s="217"/>
      <c r="G62" s="217"/>
      <c r="H62" s="176"/>
      <c r="I62" s="194"/>
      <c r="J62" s="194"/>
      <c r="K62" s="132"/>
      <c r="L62" s="194"/>
      <c r="M62" s="132"/>
      <c r="N62" s="68"/>
      <c r="O62" s="68"/>
    </row>
    <row r="63">
      <c r="A63" s="128"/>
      <c r="B63" s="216"/>
      <c r="C63" s="217"/>
      <c r="D63" s="217"/>
      <c r="E63" s="217"/>
      <c r="F63" s="217"/>
      <c r="G63" s="217"/>
      <c r="H63" s="176"/>
      <c r="I63" s="194"/>
      <c r="J63" s="194"/>
      <c r="K63" s="132"/>
      <c r="L63" s="194"/>
      <c r="M63" s="132"/>
      <c r="N63" s="68"/>
      <c r="O63" s="68"/>
    </row>
    <row r="64">
      <c r="A64" s="128"/>
      <c r="B64" s="216"/>
      <c r="C64" s="217"/>
      <c r="D64" s="217"/>
      <c r="E64" s="217"/>
      <c r="F64" s="217"/>
      <c r="G64" s="217"/>
      <c r="H64" s="176"/>
      <c r="I64" s="194"/>
      <c r="J64" s="194"/>
      <c r="K64" s="132"/>
      <c r="L64" s="194"/>
      <c r="M64" s="132"/>
      <c r="N64" s="68"/>
      <c r="O64" s="68"/>
    </row>
    <row r="65">
      <c r="A65" s="128"/>
      <c r="B65" s="216"/>
      <c r="C65" s="217"/>
      <c r="D65" s="217"/>
      <c r="E65" s="217"/>
      <c r="F65" s="217"/>
      <c r="G65" s="217"/>
      <c r="H65" s="176"/>
      <c r="I65" s="194"/>
      <c r="J65" s="194"/>
      <c r="K65" s="132"/>
      <c r="L65" s="194"/>
      <c r="M65" s="132"/>
      <c r="N65" s="68"/>
      <c r="O65" s="68"/>
    </row>
    <row r="66">
      <c r="A66" s="128"/>
      <c r="B66" s="216"/>
      <c r="C66" s="217"/>
      <c r="D66" s="217"/>
      <c r="E66" s="217"/>
      <c r="F66" s="217"/>
      <c r="G66" s="217"/>
      <c r="H66" s="176"/>
      <c r="I66" s="194"/>
      <c r="J66" s="194"/>
      <c r="K66" s="132"/>
      <c r="L66" s="194"/>
      <c r="M66" s="132"/>
      <c r="N66" s="68"/>
      <c r="O66" s="68"/>
    </row>
    <row r="67">
      <c r="A67" s="128"/>
      <c r="B67" s="216"/>
      <c r="C67" s="217"/>
      <c r="D67" s="217"/>
      <c r="E67" s="217"/>
      <c r="F67" s="217"/>
      <c r="G67" s="217"/>
      <c r="H67" s="176"/>
      <c r="I67" s="194"/>
      <c r="J67" s="194"/>
      <c r="K67" s="132"/>
      <c r="L67" s="194"/>
      <c r="M67" s="132"/>
      <c r="N67" s="68"/>
      <c r="O67" s="68"/>
    </row>
    <row r="68">
      <c r="A68" s="128"/>
      <c r="B68" s="216"/>
      <c r="C68" s="217"/>
      <c r="D68" s="217"/>
      <c r="E68" s="217"/>
      <c r="F68" s="217"/>
      <c r="G68" s="217"/>
      <c r="H68" s="176"/>
      <c r="I68" s="194"/>
      <c r="J68" s="194"/>
      <c r="K68" s="132"/>
      <c r="L68" s="194"/>
      <c r="M68" s="132"/>
      <c r="N68" s="68"/>
      <c r="O68" s="68"/>
    </row>
    <row r="69">
      <c r="A69" s="128"/>
      <c r="B69" s="216"/>
      <c r="C69" s="217"/>
      <c r="D69" s="217"/>
      <c r="E69" s="217"/>
      <c r="F69" s="217"/>
      <c r="G69" s="217"/>
      <c r="H69" s="176"/>
      <c r="I69" s="194"/>
      <c r="J69" s="194"/>
      <c r="K69" s="132"/>
      <c r="L69" s="194"/>
      <c r="M69" s="132"/>
      <c r="N69" s="68"/>
      <c r="O69" s="68"/>
    </row>
    <row r="70">
      <c r="A70" s="128"/>
      <c r="B70" s="216"/>
      <c r="C70" s="217"/>
      <c r="D70" s="217"/>
      <c r="E70" s="217"/>
      <c r="F70" s="217"/>
      <c r="G70" s="217"/>
      <c r="H70" s="176"/>
      <c r="I70" s="194"/>
      <c r="J70" s="194"/>
      <c r="K70" s="132"/>
      <c r="L70" s="194"/>
      <c r="M70" s="132"/>
      <c r="N70" s="68"/>
      <c r="O70" s="68"/>
    </row>
    <row r="71">
      <c r="A71" s="128"/>
      <c r="B71" s="216"/>
      <c r="C71" s="217"/>
      <c r="D71" s="217"/>
      <c r="E71" s="217"/>
      <c r="F71" s="217"/>
      <c r="G71" s="217"/>
      <c r="H71" s="176"/>
      <c r="I71" s="194"/>
      <c r="J71" s="194"/>
      <c r="K71" s="132"/>
      <c r="L71" s="194"/>
      <c r="M71" s="132"/>
      <c r="N71" s="68"/>
      <c r="O71" s="68"/>
    </row>
    <row r="72">
      <c r="A72" s="128"/>
      <c r="B72" s="216"/>
      <c r="C72" s="217"/>
      <c r="D72" s="217"/>
      <c r="E72" s="217"/>
      <c r="F72" s="217"/>
      <c r="G72" s="217"/>
      <c r="H72" s="176"/>
      <c r="I72" s="194"/>
      <c r="J72" s="194"/>
      <c r="K72" s="132"/>
      <c r="L72" s="194"/>
      <c r="M72" s="132"/>
      <c r="N72" s="68"/>
      <c r="O72" s="68"/>
    </row>
    <row r="73">
      <c r="A73" s="128"/>
      <c r="B73" s="216"/>
      <c r="C73" s="217"/>
      <c r="D73" s="217"/>
      <c r="E73" s="217"/>
      <c r="F73" s="217"/>
      <c r="G73" s="217"/>
      <c r="H73" s="176"/>
      <c r="I73" s="194"/>
      <c r="J73" s="194"/>
      <c r="K73" s="132"/>
      <c r="L73" s="194"/>
      <c r="M73" s="132"/>
      <c r="N73" s="68"/>
      <c r="O73" s="68"/>
    </row>
    <row r="74">
      <c r="A74" s="128"/>
      <c r="B74" s="216"/>
      <c r="C74" s="217"/>
      <c r="D74" s="217"/>
      <c r="E74" s="217"/>
      <c r="F74" s="217"/>
      <c r="G74" s="217"/>
      <c r="H74" s="176"/>
      <c r="I74" s="194"/>
      <c r="J74" s="194"/>
      <c r="K74" s="132"/>
      <c r="L74" s="194"/>
      <c r="M74" s="132"/>
      <c r="N74" s="68"/>
      <c r="O74" s="68"/>
    </row>
    <row r="75">
      <c r="A75" s="128"/>
      <c r="B75" s="216"/>
      <c r="C75" s="217"/>
      <c r="D75" s="217"/>
      <c r="E75" s="217"/>
      <c r="F75" s="217"/>
      <c r="G75" s="217"/>
      <c r="H75" s="176"/>
      <c r="I75" s="194"/>
      <c r="J75" s="194"/>
      <c r="K75" s="132"/>
      <c r="L75" s="194"/>
      <c r="M75" s="132"/>
      <c r="N75" s="68"/>
      <c r="O75" s="68"/>
    </row>
    <row r="76">
      <c r="A76" s="128"/>
      <c r="B76" s="216"/>
      <c r="C76" s="217"/>
      <c r="D76" s="217"/>
      <c r="E76" s="217"/>
      <c r="F76" s="217"/>
      <c r="G76" s="217"/>
      <c r="H76" s="176"/>
      <c r="I76" s="194"/>
      <c r="J76" s="194"/>
      <c r="K76" s="132"/>
      <c r="L76" s="194"/>
      <c r="M76" s="132"/>
      <c r="N76" s="68"/>
      <c r="O76" s="68"/>
    </row>
    <row r="77">
      <c r="A77" s="128"/>
      <c r="B77" s="216"/>
      <c r="C77" s="217"/>
      <c r="D77" s="217"/>
      <c r="E77" s="217"/>
      <c r="F77" s="217"/>
      <c r="G77" s="217"/>
      <c r="H77" s="176"/>
      <c r="I77" s="194"/>
      <c r="J77" s="194"/>
      <c r="K77" s="132"/>
      <c r="L77" s="194"/>
      <c r="M77" s="132"/>
      <c r="N77" s="68"/>
      <c r="O77" s="68"/>
    </row>
    <row r="78">
      <c r="A78" s="128"/>
      <c r="B78" s="216"/>
      <c r="C78" s="217"/>
      <c r="D78" s="217"/>
      <c r="E78" s="217"/>
      <c r="F78" s="217"/>
      <c r="G78" s="217"/>
      <c r="H78" s="176"/>
      <c r="I78" s="194"/>
      <c r="J78" s="194"/>
      <c r="K78" s="132"/>
      <c r="L78" s="194"/>
      <c r="M78" s="132"/>
      <c r="N78" s="68"/>
      <c r="O78" s="68"/>
    </row>
    <row r="79">
      <c r="A79" s="128"/>
      <c r="B79" s="216"/>
      <c r="C79" s="217"/>
      <c r="D79" s="217"/>
      <c r="E79" s="217"/>
      <c r="F79" s="217"/>
      <c r="G79" s="217"/>
      <c r="H79" s="176"/>
      <c r="I79" s="194"/>
      <c r="J79" s="194"/>
      <c r="K79" s="132"/>
      <c r="L79" s="194"/>
      <c r="M79" s="132"/>
      <c r="N79" s="68"/>
      <c r="O79" s="68"/>
    </row>
    <row r="80">
      <c r="A80" s="128"/>
      <c r="B80" s="216"/>
      <c r="C80" s="217"/>
      <c r="D80" s="217"/>
      <c r="E80" s="217"/>
      <c r="F80" s="217"/>
      <c r="G80" s="217"/>
      <c r="H80" s="176"/>
      <c r="I80" s="194"/>
      <c r="J80" s="194"/>
      <c r="K80" s="132"/>
      <c r="L80" s="194"/>
      <c r="M80" s="132"/>
      <c r="N80" s="68"/>
      <c r="O80" s="68"/>
    </row>
    <row r="81">
      <c r="A81" s="128"/>
      <c r="B81" s="216"/>
      <c r="C81" s="217"/>
      <c r="D81" s="217"/>
      <c r="E81" s="217"/>
      <c r="F81" s="217"/>
      <c r="G81" s="217"/>
      <c r="H81" s="176"/>
      <c r="I81" s="194"/>
      <c r="J81" s="194"/>
      <c r="K81" s="132"/>
      <c r="L81" s="194"/>
      <c r="M81" s="132"/>
      <c r="N81" s="68"/>
      <c r="O81" s="68"/>
    </row>
    <row r="82">
      <c r="A82" s="128"/>
      <c r="B82" s="216"/>
      <c r="C82" s="217"/>
      <c r="D82" s="217"/>
      <c r="E82" s="217"/>
      <c r="F82" s="217"/>
      <c r="G82" s="217"/>
      <c r="H82" s="176"/>
      <c r="I82" s="194"/>
      <c r="J82" s="194"/>
      <c r="K82" s="132"/>
      <c r="L82" s="194"/>
      <c r="M82" s="132"/>
      <c r="N82" s="68"/>
      <c r="O82" s="68"/>
    </row>
    <row r="83">
      <c r="A83" s="128"/>
      <c r="B83" s="216"/>
      <c r="C83" s="217"/>
      <c r="D83" s="217"/>
      <c r="E83" s="217"/>
      <c r="F83" s="217"/>
      <c r="G83" s="217"/>
      <c r="H83" s="176"/>
      <c r="I83" s="194"/>
      <c r="J83" s="194"/>
      <c r="K83" s="132"/>
      <c r="L83" s="194"/>
      <c r="M83" s="132"/>
      <c r="N83" s="68"/>
      <c r="O83" s="68"/>
    </row>
    <row r="84">
      <c r="A84" s="128"/>
      <c r="B84" s="216"/>
      <c r="C84" s="217"/>
      <c r="D84" s="217"/>
      <c r="E84" s="217"/>
      <c r="F84" s="217"/>
      <c r="G84" s="217"/>
      <c r="H84" s="176"/>
      <c r="I84" s="194"/>
      <c r="J84" s="194"/>
      <c r="K84" s="132"/>
      <c r="L84" s="194"/>
      <c r="M84" s="132"/>
      <c r="N84" s="68"/>
      <c r="O84" s="68"/>
    </row>
    <row r="85">
      <c r="A85" s="128"/>
      <c r="B85" s="216"/>
      <c r="C85" s="217"/>
      <c r="D85" s="217"/>
      <c r="E85" s="217"/>
      <c r="F85" s="217"/>
      <c r="G85" s="217"/>
      <c r="H85" s="176"/>
      <c r="I85" s="194"/>
      <c r="J85" s="194"/>
      <c r="K85" s="132"/>
      <c r="L85" s="194"/>
      <c r="M85" s="132"/>
      <c r="N85" s="68"/>
      <c r="O85" s="68"/>
    </row>
    <row r="86">
      <c r="A86" s="128"/>
      <c r="B86" s="216"/>
      <c r="C86" s="217"/>
      <c r="D86" s="217"/>
      <c r="E86" s="217"/>
      <c r="F86" s="217"/>
      <c r="G86" s="217"/>
      <c r="H86" s="176"/>
      <c r="I86" s="194"/>
      <c r="J86" s="194"/>
      <c r="K86" s="132"/>
      <c r="L86" s="194"/>
      <c r="M86" s="132"/>
      <c r="N86" s="68"/>
      <c r="O86" s="68"/>
    </row>
    <row r="87">
      <c r="A87" s="128"/>
      <c r="B87" s="216"/>
      <c r="C87" s="217"/>
      <c r="D87" s="217"/>
      <c r="E87" s="217"/>
      <c r="F87" s="217"/>
      <c r="G87" s="217"/>
      <c r="H87" s="176"/>
      <c r="I87" s="194"/>
      <c r="J87" s="194"/>
      <c r="K87" s="132"/>
      <c r="L87" s="194"/>
      <c r="M87" s="132"/>
      <c r="N87" s="68"/>
      <c r="O87" s="68"/>
    </row>
    <row r="88">
      <c r="A88" s="128"/>
      <c r="B88" s="216"/>
      <c r="C88" s="217"/>
      <c r="D88" s="217"/>
      <c r="E88" s="217"/>
      <c r="F88" s="217"/>
      <c r="G88" s="217"/>
      <c r="H88" s="176"/>
      <c r="I88" s="194"/>
      <c r="J88" s="194"/>
      <c r="K88" s="132"/>
      <c r="L88" s="194"/>
      <c r="M88" s="132"/>
      <c r="N88" s="68"/>
      <c r="O88" s="68"/>
    </row>
    <row r="89">
      <c r="A89" s="128"/>
      <c r="B89" s="216"/>
      <c r="C89" s="217"/>
      <c r="D89" s="217"/>
      <c r="E89" s="217"/>
      <c r="F89" s="217"/>
      <c r="G89" s="217"/>
      <c r="H89" s="176"/>
      <c r="I89" s="194"/>
      <c r="J89" s="194"/>
      <c r="K89" s="132"/>
      <c r="L89" s="194"/>
      <c r="M89" s="132"/>
      <c r="N89" s="68"/>
      <c r="O89" s="68"/>
    </row>
  </sheetData>
  <mergeCells count="1">
    <mergeCell ref="C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8"/>
      <c r="B1" s="68"/>
      <c r="C1" s="175"/>
      <c r="D1" s="128"/>
      <c r="E1" s="129"/>
      <c r="F1" s="130"/>
      <c r="G1" s="130"/>
      <c r="H1" s="130"/>
      <c r="I1" s="130"/>
      <c r="J1" s="130"/>
      <c r="K1" s="218"/>
      <c r="L1" s="218"/>
      <c r="M1" s="68"/>
      <c r="N1" s="68"/>
      <c r="O1" s="68"/>
      <c r="P1" s="68"/>
      <c r="Q1" s="68"/>
    </row>
    <row r="2">
      <c r="A2" s="68"/>
      <c r="D2" s="133"/>
      <c r="E2" s="134"/>
      <c r="F2" s="135" t="s">
        <v>377</v>
      </c>
      <c r="K2" s="218"/>
      <c r="L2" s="218"/>
      <c r="M2" s="68"/>
      <c r="N2" s="68"/>
      <c r="O2" s="68"/>
      <c r="P2" s="68"/>
      <c r="Q2" s="68"/>
    </row>
    <row r="3">
      <c r="A3" s="68"/>
      <c r="B3" s="219" t="s">
        <v>84</v>
      </c>
      <c r="C3" s="220" t="s">
        <v>6</v>
      </c>
      <c r="D3" s="133"/>
      <c r="E3" s="136" t="s">
        <v>311</v>
      </c>
      <c r="F3" s="137" t="str">
        <f>'BC Pay-ins LatAm'!C3</f>
        <v>Brazil</v>
      </c>
      <c r="G3" s="137" t="str">
        <f>'BC Pay-ins LatAm'!D3</f>
        <v>Mexico</v>
      </c>
      <c r="H3" s="137" t="str">
        <f>'BC Pay-ins LatAm'!E3</f>
        <v>Peru</v>
      </c>
      <c r="I3" s="137" t="str">
        <f>'BC Pay-ins LatAm'!F3</f>
        <v>Colombia</v>
      </c>
      <c r="J3" s="137" t="str">
        <f>'BC Pay-ins LatAm'!G3</f>
        <v>Argentina</v>
      </c>
      <c r="K3" s="138" t="s">
        <v>378</v>
      </c>
      <c r="L3" s="138" t="s">
        <v>379</v>
      </c>
      <c r="M3" s="138" t="s">
        <v>380</v>
      </c>
      <c r="N3" s="68"/>
      <c r="O3" s="68"/>
      <c r="P3" s="68"/>
      <c r="Q3" s="68"/>
    </row>
    <row r="4">
      <c r="A4" s="68"/>
      <c r="B4" s="221" t="s">
        <v>267</v>
      </c>
      <c r="C4" s="222" t="str">
        <f>RESUMEN!$C$3</f>
        <v>Canva</v>
      </c>
      <c r="D4" s="133"/>
      <c r="E4" s="223" t="s">
        <v>353</v>
      </c>
      <c r="F4" s="224"/>
      <c r="G4" s="224"/>
      <c r="H4" s="224"/>
      <c r="I4" s="224"/>
      <c r="J4" s="224"/>
      <c r="K4" s="223"/>
      <c r="L4" s="223"/>
      <c r="M4" s="223"/>
      <c r="N4" s="68"/>
      <c r="O4" s="68"/>
      <c r="P4" s="117" t="s">
        <v>381</v>
      </c>
      <c r="Q4" s="68"/>
    </row>
    <row r="5">
      <c r="A5" s="68"/>
      <c r="B5" s="225" t="s">
        <v>28</v>
      </c>
      <c r="C5" s="226" t="str">
        <f>RESUMEN!$C$4</f>
        <v>Digital Goods</v>
      </c>
      <c r="D5" s="133"/>
      <c r="E5" s="197" t="s">
        <v>361</v>
      </c>
      <c r="F5" s="227">
        <f>'BC Pay-ins LatAm'!C33</f>
        <v>0</v>
      </c>
      <c r="G5" s="227">
        <f>'BC Pay-ins LatAm'!D33</f>
        <v>0</v>
      </c>
      <c r="H5" s="227">
        <f>'BC Pay-ins LatAm'!E33</f>
        <v>0</v>
      </c>
      <c r="I5" s="227">
        <f>'BC Pay-ins LatAm'!F33</f>
        <v>0</v>
      </c>
      <c r="J5" s="227">
        <f>'BC Pay-ins LatAm'!G33</f>
        <v>0</v>
      </c>
      <c r="L5" s="228">
        <f t="shared" ref="L5:L6" si="1">SUM(F5:J5)</f>
        <v>0</v>
      </c>
      <c r="M5" s="133"/>
      <c r="N5" s="96"/>
      <c r="O5" s="68"/>
      <c r="P5" s="68"/>
      <c r="Q5" s="68"/>
    </row>
    <row r="6">
      <c r="A6" s="68"/>
      <c r="B6" s="68"/>
      <c r="C6" s="175"/>
      <c r="D6" s="133"/>
      <c r="E6" s="198" t="s">
        <v>363</v>
      </c>
      <c r="F6" s="227">
        <f>'BC Pay-ins LatAm'!C34</f>
        <v>5</v>
      </c>
      <c r="G6" s="227">
        <f>'BC Pay-ins LatAm'!D34</f>
        <v>5</v>
      </c>
      <c r="H6" s="227">
        <f>'BC Pay-ins LatAm'!E34</f>
        <v>4</v>
      </c>
      <c r="I6" s="227">
        <f>'BC Pay-ins LatAm'!F34</f>
        <v>4</v>
      </c>
      <c r="J6" s="227">
        <f>'BC Pay-ins LatAm'!G34</f>
        <v>3</v>
      </c>
      <c r="L6" s="229">
        <f t="shared" si="1"/>
        <v>21</v>
      </c>
      <c r="M6" s="133"/>
      <c r="N6" s="96"/>
      <c r="O6" s="68"/>
      <c r="P6" s="68"/>
      <c r="Q6" s="68"/>
    </row>
    <row r="7">
      <c r="A7" s="68"/>
      <c r="B7" s="68"/>
      <c r="C7" s="68"/>
      <c r="D7" s="133"/>
      <c r="E7" s="197" t="s">
        <v>382</v>
      </c>
      <c r="F7" s="230">
        <f t="shared" ref="F7:J7" si="2">$C$11</f>
        <v>3</v>
      </c>
      <c r="G7" s="230">
        <f t="shared" si="2"/>
        <v>3</v>
      </c>
      <c r="H7" s="230">
        <f t="shared" si="2"/>
        <v>3</v>
      </c>
      <c r="I7" s="230">
        <f t="shared" si="2"/>
        <v>3</v>
      </c>
      <c r="J7" s="230">
        <f t="shared" si="2"/>
        <v>3</v>
      </c>
      <c r="L7" s="231">
        <v>3.0</v>
      </c>
      <c r="M7" s="133"/>
      <c r="N7" s="96"/>
      <c r="O7" s="68"/>
      <c r="P7" s="68"/>
      <c r="Q7" s="68"/>
    </row>
    <row r="8">
      <c r="A8" s="68"/>
      <c r="B8" s="232"/>
      <c r="C8" s="233"/>
      <c r="D8" s="133"/>
      <c r="E8" s="170" t="s">
        <v>383</v>
      </c>
      <c r="F8" s="234">
        <f t="shared" ref="F8:J8" si="3">F7*F6</f>
        <v>15</v>
      </c>
      <c r="G8" s="234">
        <f t="shared" si="3"/>
        <v>15</v>
      </c>
      <c r="H8" s="234">
        <f t="shared" si="3"/>
        <v>12</v>
      </c>
      <c r="I8" s="234">
        <f t="shared" si="3"/>
        <v>12</v>
      </c>
      <c r="J8" s="234">
        <f t="shared" si="3"/>
        <v>9</v>
      </c>
      <c r="K8" s="235"/>
      <c r="L8" s="236">
        <f>SUM(F8:J8)</f>
        <v>63</v>
      </c>
      <c r="M8" s="133"/>
      <c r="N8" s="96"/>
      <c r="O8" s="68"/>
      <c r="P8" s="68"/>
      <c r="Q8" s="68"/>
    </row>
    <row r="9">
      <c r="A9" s="68"/>
      <c r="B9" s="237" t="s">
        <v>292</v>
      </c>
      <c r="C9" s="238"/>
      <c r="D9" s="133"/>
      <c r="E9" s="166" t="s">
        <v>384</v>
      </c>
      <c r="F9" s="235"/>
      <c r="G9" s="235"/>
      <c r="H9" s="235"/>
      <c r="I9" s="235"/>
      <c r="J9" s="235"/>
      <c r="K9" s="239">
        <f>SUM(K10:K16)</f>
        <v>21600</v>
      </c>
      <c r="L9" s="240"/>
      <c r="M9" s="241">
        <f>SUM(M10:M16)</f>
        <v>1360800</v>
      </c>
      <c r="N9" s="242" t="s">
        <v>20</v>
      </c>
      <c r="P9" s="68"/>
    </row>
    <row r="10" outlineLevel="1">
      <c r="A10" s="68"/>
      <c r="B10" s="243" t="s">
        <v>385</v>
      </c>
      <c r="C10" s="243" t="s">
        <v>386</v>
      </c>
      <c r="D10" s="133"/>
      <c r="E10" s="244" t="s">
        <v>387</v>
      </c>
      <c r="F10" s="245" t="s">
        <v>388</v>
      </c>
      <c r="G10" s="245" t="s">
        <v>388</v>
      </c>
      <c r="H10" s="245" t="s">
        <v>388</v>
      </c>
      <c r="I10" s="245" t="s">
        <v>388</v>
      </c>
      <c r="J10" s="245" t="s">
        <v>388</v>
      </c>
      <c r="K10" s="246">
        <v>2250.0</v>
      </c>
      <c r="L10" s="246">
        <f>$K$10*$L$7</f>
        <v>6750</v>
      </c>
      <c r="M10" s="247">
        <f t="shared" ref="M10:M16" si="4">L10*$L$6</f>
        <v>141750</v>
      </c>
      <c r="N10" s="96"/>
    </row>
    <row r="11" outlineLevel="1">
      <c r="A11" s="68"/>
      <c r="B11" s="248" t="s">
        <v>389</v>
      </c>
      <c r="C11" s="249">
        <v>3.0</v>
      </c>
      <c r="D11" s="133"/>
      <c r="E11" s="244" t="s">
        <v>390</v>
      </c>
      <c r="F11" s="245" t="s">
        <v>388</v>
      </c>
      <c r="G11" s="245" t="s">
        <v>388</v>
      </c>
      <c r="H11" s="245" t="s">
        <v>388</v>
      </c>
      <c r="I11" s="245" t="s">
        <v>388</v>
      </c>
      <c r="J11" s="245" t="s">
        <v>388</v>
      </c>
      <c r="K11" s="246">
        <v>10500.0</v>
      </c>
      <c r="L11" s="246">
        <f>$K$11*$L$7</f>
        <v>31500</v>
      </c>
      <c r="M11" s="247">
        <f t="shared" si="4"/>
        <v>661500</v>
      </c>
      <c r="N11" s="96"/>
    </row>
    <row r="12" outlineLevel="1">
      <c r="A12" s="68"/>
      <c r="B12" s="117" t="s">
        <v>391</v>
      </c>
      <c r="C12" s="250">
        <v>4.0</v>
      </c>
      <c r="D12" s="133"/>
      <c r="E12" s="244" t="s">
        <v>392</v>
      </c>
      <c r="F12" s="245" t="s">
        <v>388</v>
      </c>
      <c r="G12" s="245" t="s">
        <v>388</v>
      </c>
      <c r="H12" s="245" t="s">
        <v>388</v>
      </c>
      <c r="I12" s="245" t="s">
        <v>388</v>
      </c>
      <c r="J12" s="245" t="s">
        <v>388</v>
      </c>
      <c r="K12" s="246">
        <v>2250.0</v>
      </c>
      <c r="L12" s="246">
        <f>$K$12*$L$7</f>
        <v>6750</v>
      </c>
      <c r="M12" s="247">
        <f t="shared" si="4"/>
        <v>141750</v>
      </c>
      <c r="N12" s="96"/>
    </row>
    <row r="13" outlineLevel="1">
      <c r="A13" s="68"/>
      <c r="B13" s="243"/>
      <c r="C13" s="251"/>
      <c r="D13" s="133"/>
      <c r="E13" s="244" t="s">
        <v>393</v>
      </c>
      <c r="F13" s="245" t="s">
        <v>388</v>
      </c>
      <c r="G13" s="245" t="s">
        <v>388</v>
      </c>
      <c r="H13" s="245" t="s">
        <v>388</v>
      </c>
      <c r="I13" s="245" t="s">
        <v>388</v>
      </c>
      <c r="J13" s="245" t="s">
        <v>388</v>
      </c>
      <c r="K13" s="246">
        <v>1350.0</v>
      </c>
      <c r="L13" s="246">
        <f>$K$13*$L$7</f>
        <v>4050</v>
      </c>
      <c r="M13" s="247">
        <f t="shared" si="4"/>
        <v>85050</v>
      </c>
      <c r="N13" s="96"/>
    </row>
    <row r="14" outlineLevel="1">
      <c r="A14" s="68"/>
      <c r="B14" s="103" t="s">
        <v>14</v>
      </c>
      <c r="C14" s="104" t="s">
        <v>13</v>
      </c>
      <c r="D14" s="133"/>
      <c r="E14" s="244" t="s">
        <v>394</v>
      </c>
      <c r="F14" s="245" t="s">
        <v>388</v>
      </c>
      <c r="G14" s="245" t="s">
        <v>388</v>
      </c>
      <c r="H14" s="245" t="s">
        <v>388</v>
      </c>
      <c r="I14" s="245" t="s">
        <v>388</v>
      </c>
      <c r="J14" s="245" t="s">
        <v>388</v>
      </c>
      <c r="K14" s="246">
        <v>1500.0</v>
      </c>
      <c r="L14" s="246">
        <f>$K$14*$L$7</f>
        <v>4500</v>
      </c>
      <c r="M14" s="247">
        <f t="shared" si="4"/>
        <v>94500</v>
      </c>
      <c r="N14" s="96"/>
    </row>
    <row r="15" outlineLevel="1">
      <c r="A15" s="68"/>
      <c r="B15" s="106" t="s">
        <v>16</v>
      </c>
      <c r="C15" s="252" t="s">
        <v>15</v>
      </c>
      <c r="D15" s="133"/>
      <c r="E15" s="244" t="s">
        <v>395</v>
      </c>
      <c r="F15" s="245" t="s">
        <v>388</v>
      </c>
      <c r="G15" s="245" t="s">
        <v>388</v>
      </c>
      <c r="H15" s="245" t="s">
        <v>388</v>
      </c>
      <c r="I15" s="245" t="s">
        <v>388</v>
      </c>
      <c r="J15" s="245" t="s">
        <v>388</v>
      </c>
      <c r="K15" s="246">
        <v>1125.0</v>
      </c>
      <c r="L15" s="246">
        <f>$K$15*$L$7</f>
        <v>3375</v>
      </c>
      <c r="M15" s="247">
        <f t="shared" si="4"/>
        <v>70875</v>
      </c>
      <c r="N15" s="96"/>
    </row>
    <row r="16" outlineLevel="1">
      <c r="A16" s="68"/>
      <c r="B16" s="109" t="s">
        <v>18</v>
      </c>
      <c r="C16" s="253" t="s">
        <v>396</v>
      </c>
      <c r="D16" s="133"/>
      <c r="E16" s="254" t="s">
        <v>397</v>
      </c>
      <c r="F16" s="245" t="s">
        <v>388</v>
      </c>
      <c r="G16" s="245" t="s">
        <v>388</v>
      </c>
      <c r="H16" s="245" t="s">
        <v>388</v>
      </c>
      <c r="I16" s="245" t="s">
        <v>388</v>
      </c>
      <c r="J16" s="245" t="s">
        <v>388</v>
      </c>
      <c r="K16" s="255">
        <v>2625.0</v>
      </c>
      <c r="L16" s="246">
        <f>$K$16*$L$7</f>
        <v>7875</v>
      </c>
      <c r="M16" s="256">
        <f t="shared" si="4"/>
        <v>165375</v>
      </c>
      <c r="N16" s="96"/>
      <c r="O16" s="68"/>
      <c r="P16" s="68"/>
      <c r="Q16" s="68"/>
    </row>
    <row r="17" outlineLevel="1">
      <c r="A17" s="68"/>
      <c r="B17" s="111" t="s">
        <v>20</v>
      </c>
      <c r="C17" s="112" t="s">
        <v>301</v>
      </c>
      <c r="D17" s="133"/>
      <c r="E17" s="257"/>
      <c r="F17" s="258"/>
      <c r="G17" s="258"/>
      <c r="H17" s="258"/>
      <c r="I17" s="258"/>
      <c r="J17" s="258"/>
      <c r="K17" s="259"/>
      <c r="L17" s="259"/>
      <c r="M17" s="133"/>
      <c r="N17" s="96"/>
      <c r="O17" s="68"/>
      <c r="P17" s="68"/>
      <c r="Q17" s="68"/>
    </row>
    <row r="18">
      <c r="A18" s="68"/>
      <c r="D18" s="128"/>
      <c r="E18" s="223" t="s">
        <v>337</v>
      </c>
      <c r="F18" s="260"/>
      <c r="G18" s="260"/>
      <c r="H18" s="260"/>
      <c r="I18" s="260"/>
      <c r="J18" s="260"/>
      <c r="K18" s="223"/>
      <c r="L18" s="223"/>
      <c r="M18" s="223"/>
      <c r="N18" s="68"/>
      <c r="O18" s="68"/>
      <c r="P18" s="68"/>
      <c r="Q18" s="68"/>
    </row>
    <row r="19">
      <c r="A19" s="68"/>
      <c r="B19" s="261"/>
      <c r="C19" s="262"/>
      <c r="D19" s="128"/>
      <c r="E19" s="179" t="s">
        <v>342</v>
      </c>
      <c r="F19" s="263" t="str">
        <f>'BC Pay-ins LatAm'!$C$23</f>
        <v>no</v>
      </c>
      <c r="G19" s="263" t="str">
        <f>'BC Pay-ins LatAm'!$D$23</f>
        <v>no</v>
      </c>
      <c r="H19" s="263" t="str">
        <f>'BC Pay-ins LatAm'!$E$23</f>
        <v>no</v>
      </c>
      <c r="I19" s="263" t="str">
        <f>'BC Pay-ins LatAm'!$F$23</f>
        <v>no</v>
      </c>
      <c r="J19" s="263" t="str">
        <f>'BC Pay-ins LatAm'!$G$23</f>
        <v>no</v>
      </c>
      <c r="L19" s="264"/>
      <c r="M19" s="133"/>
      <c r="N19" s="68"/>
      <c r="O19" s="68"/>
      <c r="P19" s="68"/>
      <c r="Q19" s="68"/>
    </row>
    <row r="20">
      <c r="A20" s="68"/>
      <c r="B20" s="117"/>
      <c r="C20" s="176"/>
      <c r="D20" s="128"/>
      <c r="E20" s="198" t="s">
        <v>398</v>
      </c>
      <c r="F20" s="265" t="str">
        <f t="shared" ref="F20:J20" si="5">if(F19="Yes","No","Yes")</f>
        <v>Yes</v>
      </c>
      <c r="G20" s="265" t="str">
        <f t="shared" si="5"/>
        <v>Yes</v>
      </c>
      <c r="H20" s="265" t="str">
        <f t="shared" si="5"/>
        <v>Yes</v>
      </c>
      <c r="I20" s="265" t="str">
        <f t="shared" si="5"/>
        <v>Yes</v>
      </c>
      <c r="J20" s="265" t="str">
        <f t="shared" si="5"/>
        <v>Yes</v>
      </c>
      <c r="L20" s="264"/>
      <c r="M20" s="133"/>
      <c r="N20" s="68"/>
      <c r="O20" s="68"/>
      <c r="P20" s="68"/>
      <c r="Q20" s="68"/>
    </row>
    <row r="21">
      <c r="A21" s="68"/>
      <c r="B21" s="117"/>
      <c r="C21" s="176"/>
      <c r="D21" s="128"/>
      <c r="E21" s="198" t="s">
        <v>399</v>
      </c>
      <c r="F21" s="266">
        <f t="shared" ref="F21:J21" si="6">if(F19="yes",1,2)</f>
        <v>2</v>
      </c>
      <c r="G21" s="266">
        <f t="shared" si="6"/>
        <v>2</v>
      </c>
      <c r="H21" s="266">
        <f t="shared" si="6"/>
        <v>2</v>
      </c>
      <c r="I21" s="266">
        <f t="shared" si="6"/>
        <v>2</v>
      </c>
      <c r="J21" s="266">
        <f t="shared" si="6"/>
        <v>2</v>
      </c>
      <c r="L21" s="264">
        <f>SUM(F21:J21)</f>
        <v>10</v>
      </c>
      <c r="M21" s="68"/>
      <c r="N21" s="68"/>
      <c r="O21" s="68"/>
      <c r="P21" s="68"/>
      <c r="Q21" s="68"/>
    </row>
    <row r="22">
      <c r="A22" s="68"/>
      <c r="B22" s="117"/>
      <c r="C22" s="176"/>
      <c r="D22" s="128"/>
      <c r="E22" s="197" t="s">
        <v>400</v>
      </c>
      <c r="F22" s="230">
        <f t="shared" ref="F22:J22" si="7">$C$12</f>
        <v>4</v>
      </c>
      <c r="G22" s="230">
        <f t="shared" si="7"/>
        <v>4</v>
      </c>
      <c r="H22" s="230">
        <f t="shared" si="7"/>
        <v>4</v>
      </c>
      <c r="I22" s="230">
        <f t="shared" si="7"/>
        <v>4</v>
      </c>
      <c r="J22" s="230">
        <f t="shared" si="7"/>
        <v>4</v>
      </c>
      <c r="L22" s="245">
        <v>4.0</v>
      </c>
      <c r="M22" s="68"/>
      <c r="N22" s="68"/>
      <c r="O22" s="68"/>
      <c r="P22" s="68"/>
      <c r="Q22" s="68"/>
    </row>
    <row r="23">
      <c r="A23" s="68"/>
      <c r="B23" s="117"/>
      <c r="C23" s="176"/>
      <c r="D23" s="128"/>
      <c r="E23" s="170" t="s">
        <v>383</v>
      </c>
      <c r="F23" s="234">
        <f t="shared" ref="F23:J23" si="8">F22*F21</f>
        <v>8</v>
      </c>
      <c r="G23" s="234">
        <f t="shared" si="8"/>
        <v>8</v>
      </c>
      <c r="H23" s="234">
        <f t="shared" si="8"/>
        <v>8</v>
      </c>
      <c r="I23" s="234">
        <f t="shared" si="8"/>
        <v>8</v>
      </c>
      <c r="J23" s="234">
        <f t="shared" si="8"/>
        <v>8</v>
      </c>
      <c r="K23" s="235"/>
      <c r="L23" s="267">
        <f>SUM(F23:J23)</f>
        <v>40</v>
      </c>
      <c r="M23" s="176"/>
      <c r="N23" s="68"/>
      <c r="O23" s="68"/>
      <c r="P23" s="68"/>
      <c r="Q23" s="68"/>
    </row>
    <row r="24">
      <c r="A24" s="68"/>
      <c r="B24" s="117"/>
      <c r="C24" s="176"/>
      <c r="D24" s="128"/>
      <c r="E24" s="166" t="s">
        <v>401</v>
      </c>
      <c r="F24" s="235"/>
      <c r="G24" s="235"/>
      <c r="H24" s="235"/>
      <c r="I24" s="235"/>
      <c r="J24" s="235"/>
      <c r="K24" s="268">
        <f>SUM(K25:K31)</f>
        <v>21600</v>
      </c>
      <c r="L24" s="240">
        <f>$K$24*$L$22</f>
        <v>86400</v>
      </c>
      <c r="M24" s="269">
        <f>L24*L22</f>
        <v>345600</v>
      </c>
      <c r="N24" s="242" t="s">
        <v>20</v>
      </c>
      <c r="O24" s="68"/>
      <c r="P24" s="68"/>
      <c r="Q24" s="68"/>
    </row>
    <row r="25" outlineLevel="1">
      <c r="A25" s="68"/>
      <c r="B25" s="117"/>
      <c r="C25" s="176"/>
      <c r="D25" s="128"/>
      <c r="E25" s="245" t="s">
        <v>387</v>
      </c>
      <c r="F25" s="245" t="s">
        <v>388</v>
      </c>
      <c r="G25" s="245" t="s">
        <v>388</v>
      </c>
      <c r="H25" s="245" t="s">
        <v>388</v>
      </c>
      <c r="I25" s="245" t="s">
        <v>388</v>
      </c>
      <c r="J25" s="245" t="s">
        <v>388</v>
      </c>
      <c r="K25" s="270">
        <v>2250.0</v>
      </c>
      <c r="L25" s="270">
        <f>$K$25*$L$22</f>
        <v>9000</v>
      </c>
      <c r="M25" s="176">
        <f>$L$25*$L$21</f>
        <v>90000</v>
      </c>
      <c r="N25" s="68"/>
      <c r="O25" s="68"/>
      <c r="P25" s="68"/>
      <c r="Q25" s="68"/>
    </row>
    <row r="26" outlineLevel="1">
      <c r="A26" s="68"/>
      <c r="B26" s="117"/>
      <c r="C26" s="176"/>
      <c r="D26" s="128"/>
      <c r="E26" s="245" t="s">
        <v>390</v>
      </c>
      <c r="F26" s="245" t="s">
        <v>388</v>
      </c>
      <c r="G26" s="245" t="s">
        <v>388</v>
      </c>
      <c r="H26" s="245" t="s">
        <v>388</v>
      </c>
      <c r="I26" s="245" t="s">
        <v>388</v>
      </c>
      <c r="J26" s="245" t="s">
        <v>388</v>
      </c>
      <c r="K26" s="270">
        <v>10500.0</v>
      </c>
      <c r="L26" s="270">
        <f>$K$26*$L$22</f>
        <v>42000</v>
      </c>
      <c r="M26" s="176">
        <f>$L$26*$L$21</f>
        <v>420000</v>
      </c>
      <c r="N26" s="68"/>
      <c r="O26" s="68"/>
      <c r="P26" s="68"/>
      <c r="Q26" s="68"/>
    </row>
    <row r="27" outlineLevel="1">
      <c r="A27" s="68"/>
      <c r="B27" s="117"/>
      <c r="C27" s="176"/>
      <c r="D27" s="128"/>
      <c r="E27" s="245" t="s">
        <v>392</v>
      </c>
      <c r="F27" s="245" t="s">
        <v>388</v>
      </c>
      <c r="G27" s="245" t="s">
        <v>388</v>
      </c>
      <c r="H27" s="245" t="s">
        <v>388</v>
      </c>
      <c r="I27" s="245" t="s">
        <v>388</v>
      </c>
      <c r="J27" s="245" t="s">
        <v>388</v>
      </c>
      <c r="K27" s="270">
        <v>2250.0</v>
      </c>
      <c r="L27" s="270">
        <f>$K$27*$L$22</f>
        <v>9000</v>
      </c>
      <c r="M27" s="176">
        <f>$L$27*$L$21</f>
        <v>90000</v>
      </c>
      <c r="N27" s="68"/>
      <c r="O27" s="68"/>
      <c r="P27" s="68"/>
      <c r="Q27" s="68"/>
    </row>
    <row r="28" outlineLevel="1">
      <c r="A28" s="68"/>
      <c r="B28" s="117"/>
      <c r="C28" s="176"/>
      <c r="D28" s="71"/>
      <c r="E28" s="245" t="s">
        <v>393</v>
      </c>
      <c r="F28" s="245" t="s">
        <v>388</v>
      </c>
      <c r="G28" s="245" t="s">
        <v>388</v>
      </c>
      <c r="H28" s="245" t="s">
        <v>388</v>
      </c>
      <c r="I28" s="245" t="s">
        <v>388</v>
      </c>
      <c r="J28" s="245" t="s">
        <v>388</v>
      </c>
      <c r="K28" s="270">
        <v>1350.0</v>
      </c>
      <c r="L28" s="270">
        <f>$K$28*$L$22</f>
        <v>5400</v>
      </c>
      <c r="M28" s="176">
        <f>$L$28*$L$21</f>
        <v>54000</v>
      </c>
      <c r="N28" s="68"/>
      <c r="O28" s="68"/>
      <c r="P28" s="68"/>
      <c r="Q28" s="68"/>
    </row>
    <row r="29" outlineLevel="1">
      <c r="A29" s="68"/>
      <c r="B29" s="117"/>
      <c r="C29" s="176"/>
      <c r="D29" s="128"/>
      <c r="E29" s="245" t="s">
        <v>394</v>
      </c>
      <c r="F29" s="245" t="s">
        <v>388</v>
      </c>
      <c r="G29" s="245" t="s">
        <v>388</v>
      </c>
      <c r="H29" s="245" t="s">
        <v>388</v>
      </c>
      <c r="I29" s="245" t="s">
        <v>388</v>
      </c>
      <c r="J29" s="245" t="s">
        <v>388</v>
      </c>
      <c r="K29" s="270">
        <v>1500.0</v>
      </c>
      <c r="L29" s="270">
        <f>$K$29*$L$22</f>
        <v>6000</v>
      </c>
      <c r="M29" s="176">
        <f>$L$29*$L$21</f>
        <v>60000</v>
      </c>
      <c r="N29" s="68"/>
      <c r="O29" s="68"/>
      <c r="P29" s="68"/>
      <c r="Q29" s="68"/>
    </row>
    <row r="30" outlineLevel="1">
      <c r="A30" s="68"/>
      <c r="B30" s="117"/>
      <c r="C30" s="176"/>
      <c r="D30" s="128"/>
      <c r="E30" s="245" t="s">
        <v>395</v>
      </c>
      <c r="F30" s="245" t="s">
        <v>388</v>
      </c>
      <c r="G30" s="245" t="s">
        <v>388</v>
      </c>
      <c r="H30" s="245" t="s">
        <v>388</v>
      </c>
      <c r="I30" s="245" t="s">
        <v>388</v>
      </c>
      <c r="J30" s="245" t="s">
        <v>388</v>
      </c>
      <c r="K30" s="270">
        <v>1125.0</v>
      </c>
      <c r="L30" s="270">
        <f>$K$30*$L$22</f>
        <v>4500</v>
      </c>
      <c r="M30" s="176">
        <f>$L$30*$L$21</f>
        <v>45000</v>
      </c>
      <c r="N30" s="68"/>
      <c r="O30" s="68"/>
      <c r="P30" s="68"/>
      <c r="Q30" s="68"/>
    </row>
    <row r="31" outlineLevel="1">
      <c r="A31" s="68"/>
      <c r="B31" s="117"/>
      <c r="C31" s="176"/>
      <c r="D31" s="128"/>
      <c r="E31" s="271" t="s">
        <v>397</v>
      </c>
      <c r="F31" s="271" t="s">
        <v>388</v>
      </c>
      <c r="G31" s="271" t="s">
        <v>388</v>
      </c>
      <c r="H31" s="271" t="s">
        <v>388</v>
      </c>
      <c r="I31" s="271" t="s">
        <v>388</v>
      </c>
      <c r="J31" s="271" t="s">
        <v>388</v>
      </c>
      <c r="K31" s="272">
        <v>2625.0</v>
      </c>
      <c r="L31" s="270">
        <f>$K$31*$L$22</f>
        <v>10500</v>
      </c>
      <c r="M31" s="176">
        <f>$L$31*$L$21</f>
        <v>105000</v>
      </c>
      <c r="N31" s="68"/>
      <c r="O31" s="68"/>
      <c r="P31" s="68"/>
      <c r="Q31" s="68"/>
    </row>
    <row r="32">
      <c r="A32" s="68"/>
      <c r="B32" s="117"/>
      <c r="C32" s="176"/>
      <c r="D32" s="128"/>
      <c r="E32" s="271"/>
      <c r="F32" s="271"/>
      <c r="G32" s="271"/>
      <c r="H32" s="271"/>
      <c r="I32" s="245"/>
      <c r="J32" s="245"/>
      <c r="K32" s="245"/>
      <c r="L32" s="245"/>
      <c r="M32" s="176"/>
      <c r="N32" s="68"/>
      <c r="O32" s="68"/>
      <c r="P32" s="68"/>
      <c r="Q32" s="68"/>
    </row>
    <row r="33">
      <c r="A33" s="68"/>
      <c r="B33" s="117"/>
      <c r="C33" s="176"/>
      <c r="D33" s="128"/>
      <c r="E33" s="273" t="s">
        <v>402</v>
      </c>
      <c r="F33" s="274" t="s">
        <v>353</v>
      </c>
      <c r="G33" s="274" t="s">
        <v>403</v>
      </c>
      <c r="H33" s="275" t="s">
        <v>404</v>
      </c>
      <c r="J33" s="273" t="s">
        <v>405</v>
      </c>
      <c r="K33" s="273"/>
      <c r="N33" s="68"/>
      <c r="O33" s="68"/>
      <c r="P33" s="68"/>
      <c r="Q33" s="68"/>
    </row>
    <row r="34">
      <c r="A34" s="68"/>
      <c r="B34" s="117"/>
      <c r="C34" s="176"/>
      <c r="D34" s="128"/>
      <c r="E34" s="245" t="s">
        <v>387</v>
      </c>
      <c r="F34" s="270">
        <f t="shared" ref="F34:F40" si="9">M10</f>
        <v>141750</v>
      </c>
      <c r="G34" s="270">
        <f t="shared" ref="G34:G40" si="10">M25</f>
        <v>90000</v>
      </c>
      <c r="H34" s="276">
        <f t="shared" ref="H34:H40" si="11">SUM(F34:G34)</f>
        <v>231750</v>
      </c>
      <c r="I34" s="277" t="s">
        <v>20</v>
      </c>
      <c r="J34" s="170" t="s">
        <v>386</v>
      </c>
      <c r="K34" s="278">
        <f>($L$6*$L$7)+($L$21*$L$22)</f>
        <v>103</v>
      </c>
      <c r="L34" s="279"/>
      <c r="N34" s="68"/>
      <c r="O34" s="68"/>
      <c r="P34" s="68"/>
      <c r="Q34" s="68"/>
    </row>
    <row r="35">
      <c r="A35" s="68"/>
      <c r="B35" s="117"/>
      <c r="C35" s="176"/>
      <c r="D35" s="128"/>
      <c r="E35" s="245" t="s">
        <v>390</v>
      </c>
      <c r="F35" s="270">
        <f t="shared" si="9"/>
        <v>661500</v>
      </c>
      <c r="G35" s="270">
        <f t="shared" si="10"/>
        <v>420000</v>
      </c>
      <c r="H35" s="276">
        <f t="shared" si="11"/>
        <v>1081500</v>
      </c>
      <c r="I35" s="277" t="s">
        <v>20</v>
      </c>
      <c r="J35" s="170" t="s">
        <v>406</v>
      </c>
      <c r="K35" s="280">
        <f>round(K34/12,0)</f>
        <v>9</v>
      </c>
      <c r="L35" s="279"/>
      <c r="N35" s="68"/>
      <c r="O35" s="68"/>
      <c r="P35" s="68"/>
      <c r="Q35" s="68"/>
    </row>
    <row r="36">
      <c r="A36" s="68"/>
      <c r="B36" s="117"/>
      <c r="C36" s="176"/>
      <c r="D36" s="128"/>
      <c r="E36" s="245" t="s">
        <v>392</v>
      </c>
      <c r="F36" s="270">
        <f t="shared" si="9"/>
        <v>141750</v>
      </c>
      <c r="G36" s="270">
        <f t="shared" si="10"/>
        <v>90000</v>
      </c>
      <c r="H36" s="276">
        <f t="shared" si="11"/>
        <v>231750</v>
      </c>
      <c r="I36" s="277" t="s">
        <v>20</v>
      </c>
      <c r="J36" s="281" t="s">
        <v>407</v>
      </c>
      <c r="K36" s="279"/>
      <c r="L36" s="279"/>
      <c r="N36" s="68"/>
      <c r="O36" s="68"/>
      <c r="P36" s="68"/>
      <c r="Q36" s="68"/>
    </row>
    <row r="37">
      <c r="A37" s="68"/>
      <c r="B37" s="117"/>
      <c r="C37" s="176"/>
      <c r="D37" s="128"/>
      <c r="E37" s="245" t="s">
        <v>393</v>
      </c>
      <c r="F37" s="270">
        <f t="shared" si="9"/>
        <v>85050</v>
      </c>
      <c r="G37" s="270">
        <f t="shared" si="10"/>
        <v>54000</v>
      </c>
      <c r="H37" s="276">
        <f t="shared" si="11"/>
        <v>139050</v>
      </c>
      <c r="I37" s="277" t="s">
        <v>20</v>
      </c>
      <c r="J37" s="170" t="s">
        <v>386</v>
      </c>
      <c r="K37" s="51">
        <v>2.0</v>
      </c>
      <c r="L37" s="279"/>
      <c r="N37" s="68"/>
      <c r="O37" s="68"/>
      <c r="P37" s="68"/>
      <c r="Q37" s="68"/>
    </row>
    <row r="38">
      <c r="A38" s="68"/>
      <c r="B38" s="117"/>
      <c r="C38" s="176"/>
      <c r="D38" s="128"/>
      <c r="E38" s="245" t="s">
        <v>394</v>
      </c>
      <c r="F38" s="270">
        <f t="shared" si="9"/>
        <v>94500</v>
      </c>
      <c r="G38" s="270">
        <f t="shared" si="10"/>
        <v>60000</v>
      </c>
      <c r="H38" s="276">
        <f t="shared" si="11"/>
        <v>154500</v>
      </c>
      <c r="I38" s="277" t="s">
        <v>20</v>
      </c>
      <c r="J38" s="282" t="s">
        <v>408</v>
      </c>
      <c r="K38" s="283">
        <f>K34-K37</f>
        <v>101</v>
      </c>
      <c r="L38" s="279"/>
      <c r="N38" s="68"/>
      <c r="O38" s="68"/>
      <c r="P38" s="68"/>
      <c r="Q38" s="68"/>
    </row>
    <row r="39">
      <c r="A39" s="68"/>
      <c r="B39" s="117"/>
      <c r="C39" s="176"/>
      <c r="D39" s="128"/>
      <c r="E39" s="245" t="s">
        <v>395</v>
      </c>
      <c r="F39" s="270">
        <f t="shared" si="9"/>
        <v>70875</v>
      </c>
      <c r="G39" s="270">
        <f t="shared" si="10"/>
        <v>45000</v>
      </c>
      <c r="H39" s="276">
        <f t="shared" si="11"/>
        <v>115875</v>
      </c>
      <c r="I39" s="277" t="s">
        <v>20</v>
      </c>
      <c r="L39" s="279"/>
      <c r="N39" s="68"/>
      <c r="O39" s="68"/>
      <c r="P39" s="68"/>
      <c r="Q39" s="68"/>
    </row>
    <row r="40">
      <c r="A40" s="68"/>
      <c r="B40" s="117"/>
      <c r="C40" s="176"/>
      <c r="D40" s="128"/>
      <c r="E40" s="271" t="s">
        <v>397</v>
      </c>
      <c r="F40" s="270">
        <f t="shared" si="9"/>
        <v>165375</v>
      </c>
      <c r="G40" s="270">
        <f t="shared" si="10"/>
        <v>105000</v>
      </c>
      <c r="H40" s="276">
        <f t="shared" si="11"/>
        <v>270375</v>
      </c>
      <c r="I40" s="277" t="s">
        <v>20</v>
      </c>
      <c r="J40" s="284" t="s">
        <v>409</v>
      </c>
      <c r="K40" s="285">
        <f>K38</f>
        <v>101</v>
      </c>
      <c r="L40" s="242" t="s">
        <v>20</v>
      </c>
      <c r="N40" s="68"/>
      <c r="O40" s="68"/>
      <c r="P40" s="68"/>
      <c r="Q40" s="68"/>
    </row>
    <row r="41">
      <c r="A41" s="68"/>
      <c r="B41" s="117"/>
      <c r="C41" s="176"/>
      <c r="D41" s="128"/>
      <c r="E41" s="273" t="s">
        <v>402</v>
      </c>
      <c r="F41" s="274">
        <f t="shared" ref="F41:G41" si="12">SUM(F34:F40)</f>
        <v>1360800</v>
      </c>
      <c r="G41" s="274">
        <f t="shared" si="12"/>
        <v>864000</v>
      </c>
      <c r="H41" s="286">
        <f>SUM(H34:H40)/1000000</f>
        <v>2.2248</v>
      </c>
      <c r="I41" s="277" t="s">
        <v>20</v>
      </c>
      <c r="J41" s="284" t="s">
        <v>410</v>
      </c>
      <c r="K41" s="278" t="str">
        <f>CONCATENATE(ROUNDUP(K42,2)," ","years")</f>
        <v>8.42 years</v>
      </c>
      <c r="L41" s="242" t="s">
        <v>20</v>
      </c>
      <c r="N41" s="68"/>
      <c r="O41" s="68"/>
      <c r="P41" s="68"/>
      <c r="Q41" s="68"/>
    </row>
    <row r="42">
      <c r="A42" s="68"/>
      <c r="B42" s="117"/>
      <c r="C42" s="176"/>
      <c r="D42" s="128"/>
      <c r="K42" s="287">
        <f>K40/12</f>
        <v>8.416666667</v>
      </c>
      <c r="L42" s="264"/>
      <c r="M42" s="176"/>
      <c r="N42" s="68"/>
      <c r="O42" s="68"/>
      <c r="P42" s="68"/>
      <c r="Q42" s="68"/>
    </row>
    <row r="43">
      <c r="A43" s="68"/>
      <c r="B43" s="117"/>
      <c r="C43" s="176"/>
      <c r="D43" s="128"/>
      <c r="K43" s="264"/>
      <c r="L43" s="264"/>
      <c r="M43" s="176"/>
      <c r="N43" s="68"/>
      <c r="O43" s="68"/>
      <c r="P43" s="68"/>
      <c r="Q43" s="68"/>
    </row>
    <row r="44">
      <c r="A44" s="68"/>
      <c r="B44" s="117"/>
      <c r="C44" s="176"/>
      <c r="D44" s="128"/>
      <c r="K44" s="264"/>
      <c r="L44" s="264"/>
      <c r="M44" s="176"/>
      <c r="N44" s="68"/>
      <c r="O44" s="68"/>
      <c r="P44" s="68"/>
      <c r="Q44" s="68"/>
    </row>
    <row r="45">
      <c r="A45" s="68"/>
      <c r="B45" s="117"/>
      <c r="C45" s="176"/>
      <c r="D45" s="128"/>
      <c r="K45" s="264"/>
      <c r="L45" s="264"/>
      <c r="M45" s="176"/>
      <c r="N45" s="68"/>
      <c r="O45" s="68"/>
      <c r="P45" s="68"/>
      <c r="Q45" s="68"/>
    </row>
    <row r="46">
      <c r="A46" s="68"/>
      <c r="B46" s="117"/>
      <c r="C46" s="176"/>
      <c r="D46" s="128"/>
      <c r="E46" s="68"/>
      <c r="F46" s="175"/>
      <c r="G46" s="175"/>
      <c r="H46" s="175"/>
      <c r="I46" s="175"/>
      <c r="J46" s="175"/>
      <c r="K46" s="264"/>
      <c r="L46" s="264"/>
      <c r="M46" s="176"/>
      <c r="N46" s="68"/>
      <c r="O46" s="68"/>
      <c r="P46" s="68"/>
      <c r="Q46" s="68"/>
    </row>
    <row r="47">
      <c r="A47" s="68"/>
      <c r="B47" s="117"/>
      <c r="C47" s="176"/>
      <c r="D47" s="128"/>
      <c r="E47" s="68"/>
      <c r="F47" s="175"/>
      <c r="G47" s="175"/>
      <c r="H47" s="175"/>
      <c r="I47" s="175"/>
      <c r="J47" s="175"/>
      <c r="K47" s="264"/>
      <c r="L47" s="264"/>
      <c r="M47" s="176"/>
      <c r="N47" s="68"/>
      <c r="O47" s="68"/>
      <c r="P47" s="68"/>
      <c r="Q47" s="68"/>
    </row>
    <row r="48">
      <c r="A48" s="68"/>
      <c r="B48" s="117"/>
      <c r="C48" s="176"/>
      <c r="D48" s="128"/>
      <c r="E48" s="216"/>
      <c r="F48" s="217"/>
      <c r="G48" s="217"/>
      <c r="H48" s="217"/>
      <c r="I48" s="217"/>
      <c r="J48" s="217"/>
      <c r="K48" s="264"/>
      <c r="L48" s="264"/>
      <c r="M48" s="176"/>
      <c r="N48" s="68"/>
      <c r="O48" s="68"/>
      <c r="P48" s="68"/>
      <c r="Q48" s="68"/>
    </row>
    <row r="49">
      <c r="A49" s="68"/>
      <c r="B49" s="117"/>
      <c r="C49" s="176"/>
      <c r="D49" s="128"/>
      <c r="E49" s="216"/>
      <c r="F49" s="217"/>
      <c r="G49" s="217"/>
      <c r="H49" s="217"/>
      <c r="I49" s="217"/>
      <c r="J49" s="217"/>
      <c r="K49" s="264"/>
      <c r="L49" s="264"/>
      <c r="M49" s="176"/>
      <c r="N49" s="68"/>
      <c r="O49" s="68"/>
      <c r="P49" s="68"/>
      <c r="Q49" s="68"/>
    </row>
    <row r="50">
      <c r="A50" s="68"/>
      <c r="B50" s="117"/>
      <c r="C50" s="176"/>
      <c r="D50" s="128"/>
      <c r="E50" s="216"/>
      <c r="F50" s="217"/>
      <c r="G50" s="217"/>
      <c r="H50" s="217"/>
      <c r="I50" s="217"/>
      <c r="J50" s="217"/>
      <c r="K50" s="264"/>
      <c r="L50" s="264"/>
      <c r="M50" s="176"/>
      <c r="N50" s="68"/>
      <c r="O50" s="68"/>
      <c r="P50" s="68"/>
      <c r="Q50" s="68"/>
    </row>
    <row r="51">
      <c r="A51" s="68"/>
      <c r="B51" s="117"/>
      <c r="C51" s="176"/>
      <c r="D51" s="128"/>
      <c r="E51" s="216"/>
      <c r="F51" s="217"/>
      <c r="G51" s="217"/>
      <c r="H51" s="217"/>
      <c r="I51" s="217"/>
      <c r="J51" s="217"/>
      <c r="K51" s="264"/>
      <c r="L51" s="264"/>
      <c r="M51" s="176"/>
      <c r="N51" s="68"/>
      <c r="O51" s="68"/>
      <c r="P51" s="68"/>
      <c r="Q51" s="68"/>
    </row>
    <row r="52">
      <c r="A52" s="68"/>
      <c r="B52" s="117"/>
      <c r="C52" s="176"/>
      <c r="D52" s="128"/>
      <c r="E52" s="216"/>
      <c r="F52" s="217"/>
      <c r="G52" s="217"/>
      <c r="H52" s="217"/>
      <c r="I52" s="217"/>
      <c r="J52" s="217"/>
      <c r="K52" s="264"/>
      <c r="L52" s="264"/>
      <c r="M52" s="176"/>
      <c r="N52" s="68"/>
      <c r="O52" s="68"/>
      <c r="P52" s="68"/>
      <c r="Q52" s="68"/>
    </row>
    <row r="53">
      <c r="A53" s="68"/>
      <c r="B53" s="117"/>
      <c r="C53" s="176"/>
      <c r="D53" s="128"/>
      <c r="E53" s="216"/>
      <c r="F53" s="217"/>
      <c r="G53" s="217"/>
      <c r="H53" s="217"/>
      <c r="I53" s="217"/>
      <c r="J53" s="217"/>
      <c r="K53" s="264"/>
      <c r="L53" s="264"/>
      <c r="M53" s="176"/>
      <c r="N53" s="68"/>
      <c r="O53" s="68"/>
      <c r="P53" s="68"/>
      <c r="Q53" s="68"/>
    </row>
    <row r="54">
      <c r="A54" s="68"/>
      <c r="B54" s="117"/>
      <c r="C54" s="176"/>
      <c r="D54" s="128"/>
      <c r="E54" s="216"/>
      <c r="F54" s="217"/>
      <c r="G54" s="217"/>
      <c r="H54" s="217"/>
      <c r="I54" s="217"/>
      <c r="J54" s="217"/>
      <c r="K54" s="264"/>
      <c r="L54" s="264"/>
      <c r="M54" s="176"/>
      <c r="N54" s="68"/>
      <c r="O54" s="68"/>
      <c r="P54" s="68"/>
      <c r="Q54" s="68"/>
    </row>
    <row r="55">
      <c r="A55" s="68"/>
      <c r="B55" s="117"/>
      <c r="C55" s="176"/>
      <c r="D55" s="128"/>
      <c r="E55" s="216"/>
      <c r="F55" s="217"/>
      <c r="G55" s="217"/>
      <c r="H55" s="217"/>
      <c r="I55" s="217"/>
      <c r="J55" s="217"/>
      <c r="K55" s="264"/>
      <c r="L55" s="264"/>
      <c r="M55" s="176"/>
      <c r="N55" s="68"/>
      <c r="O55" s="68"/>
      <c r="P55" s="68"/>
      <c r="Q55" s="68"/>
    </row>
    <row r="56">
      <c r="A56" s="68"/>
      <c r="B56" s="117"/>
      <c r="C56" s="176"/>
      <c r="D56" s="128"/>
      <c r="E56" s="216"/>
      <c r="F56" s="217"/>
      <c r="G56" s="217"/>
      <c r="H56" s="217"/>
      <c r="I56" s="217"/>
      <c r="J56" s="217"/>
      <c r="K56" s="264"/>
      <c r="L56" s="264"/>
      <c r="M56" s="176"/>
      <c r="N56" s="68"/>
      <c r="O56" s="68"/>
      <c r="P56" s="68"/>
      <c r="Q56" s="68"/>
    </row>
    <row r="57">
      <c r="A57" s="68"/>
      <c r="B57" s="117"/>
      <c r="C57" s="176"/>
      <c r="D57" s="128"/>
      <c r="E57" s="216"/>
      <c r="F57" s="217"/>
      <c r="G57" s="217"/>
      <c r="H57" s="217"/>
      <c r="I57" s="217"/>
      <c r="J57" s="217"/>
      <c r="K57" s="264"/>
      <c r="L57" s="264"/>
      <c r="M57" s="176"/>
      <c r="N57" s="68"/>
      <c r="O57" s="68"/>
      <c r="P57" s="68"/>
      <c r="Q57" s="68"/>
    </row>
    <row r="58">
      <c r="A58" s="68"/>
      <c r="B58" s="117"/>
      <c r="C58" s="176"/>
      <c r="D58" s="128"/>
      <c r="E58" s="216"/>
      <c r="F58" s="217"/>
      <c r="G58" s="217"/>
      <c r="H58" s="217"/>
      <c r="I58" s="217"/>
      <c r="J58" s="217"/>
      <c r="K58" s="264"/>
      <c r="L58" s="264"/>
      <c r="M58" s="176"/>
      <c r="N58" s="68"/>
      <c r="O58" s="68"/>
      <c r="P58" s="68"/>
      <c r="Q58" s="68"/>
    </row>
    <row r="59">
      <c r="A59" s="68"/>
      <c r="B59" s="117"/>
      <c r="C59" s="176"/>
      <c r="D59" s="128"/>
      <c r="E59" s="216"/>
      <c r="F59" s="217"/>
      <c r="G59" s="217"/>
      <c r="H59" s="217"/>
      <c r="I59" s="217"/>
      <c r="J59" s="217"/>
      <c r="K59" s="264"/>
      <c r="L59" s="264"/>
      <c r="M59" s="176"/>
      <c r="N59" s="68"/>
      <c r="O59" s="68"/>
      <c r="P59" s="68"/>
      <c r="Q59" s="68"/>
    </row>
    <row r="60">
      <c r="A60" s="68"/>
      <c r="B60" s="117"/>
      <c r="C60" s="176"/>
      <c r="D60" s="128"/>
      <c r="E60" s="216"/>
      <c r="F60" s="217"/>
      <c r="G60" s="217"/>
      <c r="H60" s="217"/>
      <c r="I60" s="217"/>
      <c r="J60" s="217"/>
      <c r="K60" s="264"/>
      <c r="L60" s="264"/>
      <c r="M60" s="176"/>
      <c r="N60" s="68"/>
      <c r="O60" s="68"/>
      <c r="P60" s="68"/>
      <c r="Q60" s="68"/>
    </row>
    <row r="61">
      <c r="A61" s="68"/>
      <c r="B61" s="117"/>
      <c r="C61" s="176"/>
      <c r="D61" s="128"/>
      <c r="E61" s="216"/>
      <c r="F61" s="217"/>
      <c r="G61" s="217"/>
      <c r="H61" s="217"/>
      <c r="I61" s="217"/>
      <c r="J61" s="217"/>
      <c r="K61" s="264"/>
      <c r="L61" s="264"/>
      <c r="M61" s="176"/>
      <c r="N61" s="68"/>
      <c r="O61" s="68"/>
      <c r="P61" s="68"/>
      <c r="Q61" s="68"/>
    </row>
    <row r="62">
      <c r="A62" s="68"/>
      <c r="B62" s="117"/>
      <c r="C62" s="176"/>
      <c r="D62" s="128"/>
      <c r="E62" s="216"/>
      <c r="F62" s="217"/>
      <c r="G62" s="217"/>
      <c r="H62" s="217"/>
      <c r="I62" s="217"/>
      <c r="J62" s="217"/>
      <c r="K62" s="264"/>
      <c r="L62" s="264"/>
      <c r="M62" s="176"/>
      <c r="N62" s="68"/>
      <c r="O62" s="68"/>
      <c r="P62" s="68"/>
      <c r="Q62" s="68"/>
    </row>
    <row r="63">
      <c r="A63" s="68"/>
      <c r="B63" s="117"/>
      <c r="C63" s="176"/>
      <c r="D63" s="128"/>
      <c r="E63" s="216"/>
      <c r="F63" s="217"/>
      <c r="G63" s="217"/>
      <c r="H63" s="217"/>
      <c r="I63" s="217"/>
      <c r="J63" s="217"/>
      <c r="K63" s="264"/>
      <c r="L63" s="264"/>
      <c r="M63" s="176"/>
      <c r="N63" s="68"/>
      <c r="O63" s="68"/>
      <c r="P63" s="68"/>
      <c r="Q63" s="68"/>
    </row>
    <row r="64">
      <c r="A64" s="68"/>
      <c r="B64" s="117"/>
      <c r="C64" s="176"/>
      <c r="D64" s="128"/>
      <c r="E64" s="216"/>
      <c r="F64" s="217"/>
      <c r="G64" s="217"/>
      <c r="H64" s="217"/>
      <c r="I64" s="217"/>
      <c r="J64" s="217"/>
      <c r="K64" s="264"/>
      <c r="L64" s="264"/>
      <c r="M64" s="176"/>
      <c r="N64" s="68"/>
      <c r="O64" s="68"/>
      <c r="P64" s="68"/>
      <c r="Q64" s="68"/>
    </row>
    <row r="65">
      <c r="A65" s="68"/>
      <c r="B65" s="117"/>
      <c r="C65" s="176"/>
      <c r="D65" s="128"/>
      <c r="E65" s="216"/>
      <c r="F65" s="217"/>
      <c r="G65" s="217"/>
      <c r="H65" s="217"/>
      <c r="I65" s="217"/>
      <c r="J65" s="217"/>
      <c r="K65" s="264"/>
      <c r="L65" s="264"/>
      <c r="M65" s="176"/>
      <c r="N65" s="68"/>
      <c r="O65" s="68"/>
      <c r="P65" s="68"/>
      <c r="Q65" s="68"/>
    </row>
    <row r="66">
      <c r="A66" s="68"/>
      <c r="B66" s="117"/>
      <c r="C66" s="176"/>
      <c r="D66" s="128"/>
      <c r="E66" s="216"/>
      <c r="F66" s="217"/>
      <c r="G66" s="217"/>
      <c r="H66" s="217"/>
      <c r="I66" s="217"/>
      <c r="J66" s="217"/>
      <c r="K66" s="264"/>
      <c r="L66" s="264"/>
      <c r="M66" s="176"/>
      <c r="N66" s="68"/>
      <c r="O66" s="68"/>
      <c r="P66" s="68"/>
      <c r="Q66" s="68"/>
    </row>
    <row r="67">
      <c r="A67" s="68"/>
      <c r="B67" s="117"/>
      <c r="C67" s="176"/>
      <c r="D67" s="128"/>
      <c r="E67" s="216"/>
      <c r="F67" s="217"/>
      <c r="G67" s="217"/>
      <c r="H67" s="217"/>
      <c r="I67" s="217"/>
      <c r="J67" s="217"/>
      <c r="K67" s="264"/>
      <c r="L67" s="264"/>
      <c r="M67" s="176"/>
      <c r="N67" s="68"/>
      <c r="O67" s="68"/>
      <c r="P67" s="68"/>
      <c r="Q67" s="68"/>
    </row>
    <row r="68">
      <c r="A68" s="68"/>
      <c r="B68" s="117"/>
      <c r="C68" s="176"/>
      <c r="D68" s="128"/>
      <c r="E68" s="216"/>
      <c r="F68" s="217"/>
      <c r="G68" s="217"/>
      <c r="H68" s="217"/>
      <c r="I68" s="217"/>
      <c r="J68" s="217"/>
      <c r="K68" s="264"/>
      <c r="L68" s="264"/>
      <c r="M68" s="176"/>
      <c r="N68" s="68"/>
      <c r="O68" s="68"/>
      <c r="P68" s="68"/>
      <c r="Q68" s="68"/>
    </row>
    <row r="69">
      <c r="A69" s="68"/>
      <c r="B69" s="117"/>
      <c r="C69" s="176"/>
      <c r="D69" s="128"/>
      <c r="E69" s="216"/>
      <c r="F69" s="217"/>
      <c r="G69" s="217"/>
      <c r="H69" s="217"/>
      <c r="I69" s="217"/>
      <c r="J69" s="217"/>
      <c r="K69" s="264"/>
      <c r="L69" s="264"/>
      <c r="M69" s="176"/>
      <c r="N69" s="68"/>
      <c r="O69" s="68"/>
      <c r="P69" s="68"/>
      <c r="Q69" s="68"/>
    </row>
    <row r="70">
      <c r="A70" s="68"/>
      <c r="B70" s="117"/>
      <c r="C70" s="176"/>
      <c r="D70" s="128"/>
      <c r="E70" s="216"/>
      <c r="F70" s="217"/>
      <c r="G70" s="217"/>
      <c r="H70" s="217"/>
      <c r="I70" s="217"/>
      <c r="J70" s="217"/>
      <c r="K70" s="264"/>
      <c r="L70" s="264"/>
      <c r="M70" s="176"/>
      <c r="N70" s="68"/>
      <c r="O70" s="68"/>
      <c r="P70" s="68"/>
      <c r="Q70" s="68"/>
    </row>
    <row r="71">
      <c r="A71" s="68"/>
      <c r="B71" s="117"/>
      <c r="C71" s="176"/>
      <c r="D71" s="128"/>
      <c r="E71" s="216"/>
      <c r="F71" s="217"/>
      <c r="G71" s="217"/>
      <c r="H71" s="217"/>
      <c r="I71" s="217"/>
      <c r="J71" s="217"/>
      <c r="K71" s="264"/>
      <c r="L71" s="264"/>
      <c r="M71" s="176"/>
      <c r="N71" s="68"/>
      <c r="O71" s="68"/>
      <c r="P71" s="68"/>
      <c r="Q71" s="68"/>
    </row>
    <row r="72">
      <c r="A72" s="68"/>
      <c r="B72" s="117"/>
      <c r="C72" s="176"/>
      <c r="D72" s="128"/>
      <c r="E72" s="216"/>
      <c r="F72" s="217"/>
      <c r="G72" s="217"/>
      <c r="H72" s="217"/>
      <c r="I72" s="217"/>
      <c r="J72" s="217"/>
      <c r="K72" s="264"/>
      <c r="L72" s="264"/>
      <c r="M72" s="176"/>
      <c r="N72" s="68"/>
      <c r="O72" s="68"/>
      <c r="P72" s="68"/>
      <c r="Q72" s="68"/>
    </row>
    <row r="73">
      <c r="A73" s="68"/>
      <c r="B73" s="117"/>
      <c r="C73" s="176"/>
      <c r="D73" s="128"/>
      <c r="E73" s="216"/>
      <c r="F73" s="217"/>
      <c r="G73" s="217"/>
      <c r="H73" s="217"/>
      <c r="I73" s="217"/>
      <c r="J73" s="217"/>
      <c r="K73" s="264"/>
      <c r="L73" s="264"/>
      <c r="M73" s="176"/>
      <c r="N73" s="68"/>
      <c r="O73" s="68"/>
      <c r="P73" s="68"/>
      <c r="Q73" s="68"/>
    </row>
    <row r="74">
      <c r="A74" s="68"/>
      <c r="B74" s="117"/>
      <c r="C74" s="176"/>
      <c r="D74" s="128"/>
      <c r="E74" s="216"/>
      <c r="F74" s="217"/>
      <c r="G74" s="217"/>
      <c r="H74" s="217"/>
      <c r="I74" s="217"/>
      <c r="J74" s="217"/>
      <c r="K74" s="264"/>
      <c r="L74" s="264"/>
      <c r="M74" s="176"/>
      <c r="N74" s="68"/>
      <c r="O74" s="68"/>
      <c r="P74" s="68"/>
      <c r="Q74" s="68"/>
    </row>
    <row r="75">
      <c r="A75" s="68"/>
      <c r="B75" s="117"/>
      <c r="C75" s="176"/>
      <c r="D75" s="128"/>
      <c r="E75" s="216"/>
      <c r="F75" s="217"/>
      <c r="G75" s="217"/>
      <c r="H75" s="217"/>
      <c r="I75" s="217"/>
      <c r="J75" s="217"/>
      <c r="K75" s="264"/>
      <c r="L75" s="264"/>
      <c r="M75" s="176"/>
      <c r="N75" s="68"/>
      <c r="O75" s="68"/>
      <c r="P75" s="68"/>
      <c r="Q75" s="68"/>
    </row>
    <row r="76">
      <c r="A76" s="68"/>
      <c r="B76" s="117"/>
      <c r="C76" s="176"/>
      <c r="D76" s="128"/>
      <c r="E76" s="216"/>
      <c r="F76" s="217"/>
      <c r="G76" s="217"/>
      <c r="H76" s="217"/>
      <c r="I76" s="217"/>
      <c r="J76" s="217"/>
      <c r="K76" s="264"/>
      <c r="L76" s="264"/>
      <c r="M76" s="176"/>
      <c r="N76" s="68"/>
      <c r="O76" s="68"/>
      <c r="P76" s="68"/>
      <c r="Q76" s="68"/>
    </row>
    <row r="77">
      <c r="A77" s="68"/>
      <c r="B77" s="117"/>
      <c r="C77" s="176"/>
      <c r="D77" s="128"/>
      <c r="E77" s="216"/>
      <c r="F77" s="217"/>
      <c r="G77" s="217"/>
      <c r="H77" s="217"/>
      <c r="I77" s="217"/>
      <c r="J77" s="217"/>
      <c r="K77" s="264"/>
      <c r="L77" s="264"/>
      <c r="M77" s="176"/>
      <c r="N77" s="68"/>
      <c r="O77" s="68"/>
      <c r="P77" s="68"/>
      <c r="Q77" s="68"/>
    </row>
    <row r="78">
      <c r="A78" s="68"/>
      <c r="B78" s="117"/>
      <c r="C78" s="176"/>
      <c r="D78" s="128"/>
      <c r="E78" s="216"/>
      <c r="F78" s="217"/>
      <c r="G78" s="217"/>
      <c r="H78" s="217"/>
      <c r="I78" s="217"/>
      <c r="J78" s="217"/>
      <c r="K78" s="264"/>
      <c r="L78" s="264"/>
      <c r="M78" s="176"/>
      <c r="N78" s="68"/>
      <c r="O78" s="68"/>
      <c r="P78" s="68"/>
      <c r="Q78" s="68"/>
    </row>
    <row r="79">
      <c r="A79" s="68"/>
      <c r="B79" s="117"/>
      <c r="C79" s="176"/>
      <c r="D79" s="128"/>
      <c r="E79" s="216"/>
      <c r="F79" s="217"/>
      <c r="G79" s="217"/>
      <c r="H79" s="217"/>
      <c r="I79" s="217"/>
      <c r="J79" s="217"/>
      <c r="K79" s="264"/>
      <c r="L79" s="264"/>
      <c r="M79" s="176"/>
      <c r="N79" s="68"/>
      <c r="O79" s="68"/>
      <c r="P79" s="68"/>
      <c r="Q79" s="68"/>
    </row>
    <row r="80">
      <c r="A80" s="68"/>
      <c r="B80" s="117"/>
      <c r="C80" s="176"/>
      <c r="D80" s="128"/>
      <c r="E80" s="216"/>
      <c r="F80" s="217"/>
      <c r="G80" s="217"/>
      <c r="H80" s="217"/>
      <c r="I80" s="217"/>
      <c r="J80" s="217"/>
      <c r="K80" s="264"/>
      <c r="L80" s="264"/>
      <c r="M80" s="176"/>
      <c r="N80" s="68"/>
      <c r="O80" s="68"/>
      <c r="P80" s="68"/>
      <c r="Q80" s="68"/>
    </row>
    <row r="81">
      <c r="A81" s="68"/>
      <c r="B81" s="117"/>
      <c r="C81" s="176"/>
      <c r="D81" s="128"/>
      <c r="E81" s="216"/>
      <c r="F81" s="217"/>
      <c r="G81" s="217"/>
      <c r="H81" s="217"/>
      <c r="I81" s="217"/>
      <c r="J81" s="217"/>
      <c r="K81" s="264"/>
      <c r="L81" s="264"/>
      <c r="M81" s="176"/>
      <c r="N81" s="68"/>
      <c r="O81" s="68"/>
      <c r="P81" s="68"/>
      <c r="Q81" s="68"/>
    </row>
    <row r="82">
      <c r="A82" s="68"/>
      <c r="B82" s="117"/>
      <c r="C82" s="176"/>
      <c r="D82" s="128"/>
      <c r="E82" s="216"/>
      <c r="F82" s="217"/>
      <c r="G82" s="217"/>
      <c r="H82" s="217"/>
      <c r="I82" s="217"/>
      <c r="J82" s="217"/>
      <c r="K82" s="264"/>
      <c r="L82" s="264"/>
      <c r="M82" s="176"/>
      <c r="N82" s="68"/>
      <c r="O82" s="68"/>
      <c r="P82" s="68"/>
      <c r="Q82" s="68"/>
    </row>
    <row r="83">
      <c r="A83" s="68"/>
      <c r="B83" s="117"/>
      <c r="C83" s="176"/>
      <c r="D83" s="128"/>
      <c r="E83" s="216"/>
      <c r="F83" s="217"/>
      <c r="G83" s="217"/>
      <c r="H83" s="217"/>
      <c r="I83" s="217"/>
      <c r="J83" s="217"/>
      <c r="K83" s="264"/>
      <c r="L83" s="264"/>
      <c r="M83" s="176"/>
      <c r="N83" s="68"/>
      <c r="O83" s="68"/>
      <c r="P83" s="68"/>
      <c r="Q83" s="68"/>
    </row>
  </sheetData>
  <mergeCells count="1">
    <mergeCell ref="F2:J2"/>
  </mergeCells>
  <dataValidations>
    <dataValidation type="list" allowBlank="1" showErrorMessage="1" sqref="C3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8"/>
      <c r="B1" s="129"/>
      <c r="C1" s="130"/>
      <c r="D1" s="130"/>
      <c r="E1" s="130"/>
      <c r="F1" s="130"/>
      <c r="G1" s="130"/>
      <c r="H1" s="68"/>
      <c r="I1" s="131"/>
      <c r="J1" s="131"/>
      <c r="K1" s="132"/>
      <c r="L1" s="131"/>
      <c r="M1" s="132"/>
      <c r="N1" s="68"/>
      <c r="O1" s="68"/>
    </row>
    <row r="2">
      <c r="A2" s="133"/>
      <c r="B2" s="134"/>
      <c r="C2" s="135" t="s">
        <v>310</v>
      </c>
      <c r="H2" s="68"/>
      <c r="I2" s="131"/>
      <c r="J2" s="131"/>
      <c r="K2" s="132"/>
      <c r="L2" s="131"/>
      <c r="M2" s="132"/>
      <c r="N2" s="68"/>
      <c r="O2" s="68"/>
    </row>
    <row r="3">
      <c r="A3" s="133"/>
      <c r="B3" s="136" t="s">
        <v>311</v>
      </c>
      <c r="C3" s="137" t="s">
        <v>411</v>
      </c>
      <c r="D3" s="137" t="s">
        <v>412</v>
      </c>
      <c r="E3" s="137"/>
      <c r="F3" s="137"/>
      <c r="G3" s="137"/>
      <c r="H3" s="138" t="s">
        <v>317</v>
      </c>
      <c r="I3" s="131"/>
      <c r="J3" s="138" t="s">
        <v>318</v>
      </c>
      <c r="K3" s="138" t="s">
        <v>318</v>
      </c>
      <c r="L3" s="131"/>
      <c r="M3" s="139" t="s">
        <v>319</v>
      </c>
      <c r="N3" s="68"/>
      <c r="O3" s="68"/>
    </row>
    <row r="4">
      <c r="A4" s="133"/>
      <c r="B4" s="117" t="s">
        <v>320</v>
      </c>
      <c r="C4" s="140">
        <v>0.1507</v>
      </c>
      <c r="D4" s="140">
        <v>0.0208</v>
      </c>
      <c r="E4" s="140"/>
      <c r="F4" s="140"/>
      <c r="G4" s="140"/>
      <c r="H4" s="288">
        <f>SUM(C4:G4)</f>
        <v>0.1715</v>
      </c>
      <c r="I4" s="131"/>
      <c r="J4" s="131"/>
      <c r="K4" s="142"/>
      <c r="L4" s="131"/>
      <c r="M4" s="142" t="s">
        <v>321</v>
      </c>
      <c r="N4" s="68"/>
      <c r="O4" s="68"/>
    </row>
    <row r="5">
      <c r="A5" s="133"/>
      <c r="B5" s="143" t="s">
        <v>322</v>
      </c>
      <c r="C5" s="144">
        <f>C4*RESUMEN!$C$13</f>
        <v>1665235000</v>
      </c>
      <c r="D5" s="144">
        <f>D4*RESUMEN!$C$13</f>
        <v>229840000</v>
      </c>
      <c r="E5" s="144"/>
      <c r="F5" s="144"/>
      <c r="G5" s="144"/>
      <c r="H5" s="96"/>
      <c r="I5" s="145"/>
      <c r="J5" s="145"/>
      <c r="K5" s="146"/>
      <c r="L5" s="145"/>
      <c r="M5" s="146"/>
      <c r="N5" s="68"/>
      <c r="O5" s="68"/>
    </row>
    <row r="6">
      <c r="A6" s="133"/>
      <c r="B6" s="134" t="s">
        <v>323</v>
      </c>
      <c r="C6" s="147">
        <v>0.06</v>
      </c>
      <c r="D6" s="147">
        <v>0.06</v>
      </c>
      <c r="E6" s="147"/>
      <c r="F6" s="147"/>
      <c r="G6" s="147"/>
      <c r="H6" s="96"/>
      <c r="I6" s="145"/>
      <c r="J6" s="145"/>
      <c r="K6" s="146"/>
      <c r="L6" s="145"/>
      <c r="M6" s="146"/>
      <c r="N6" s="68"/>
      <c r="O6" s="68"/>
    </row>
    <row r="7" outlineLevel="1">
      <c r="A7" s="133"/>
      <c r="B7" s="148" t="s">
        <v>324</v>
      </c>
      <c r="C7" s="149">
        <f>VLOOKUP(RESUMEN!$C$4,'Aceptance Rate Delta per Indust'!$B$3:$K$40,9,false)</f>
        <v>0.18</v>
      </c>
      <c r="D7" s="149">
        <f>VLOOKUP(RESUMEN!$C$4,'Aceptance Rate Delta per Indust'!$B$3:$K$40,9,false)</f>
        <v>0.18</v>
      </c>
      <c r="E7" s="149"/>
      <c r="F7" s="149"/>
      <c r="G7" s="149"/>
      <c r="H7" s="96"/>
      <c r="I7" s="145"/>
      <c r="J7" s="145"/>
      <c r="K7" s="146"/>
      <c r="L7" s="145"/>
      <c r="M7" s="146"/>
      <c r="N7" s="68"/>
      <c r="O7" s="68"/>
    </row>
    <row r="8" outlineLevel="1">
      <c r="A8" s="133"/>
      <c r="B8" s="150" t="s">
        <v>325</v>
      </c>
      <c r="C8" s="151">
        <f>VLOOKUP(RESUMEN!$C$4,'Aceptance Rate Delta per Indust'!$B$3:$K$40,10,false)</f>
        <v>0.8</v>
      </c>
      <c r="D8" s="151">
        <f>VLOOKUP(RESUMEN!$C$4,'Aceptance Rate Delta per Indust'!$B$3:$K$40,10,false)</f>
        <v>0.8</v>
      </c>
      <c r="E8" s="151"/>
      <c r="F8" s="151"/>
      <c r="G8" s="151"/>
      <c r="H8" s="96"/>
      <c r="I8" s="145"/>
      <c r="J8" s="145"/>
      <c r="K8" s="146"/>
      <c r="L8" s="145"/>
      <c r="M8" s="146"/>
      <c r="N8" s="68"/>
      <c r="O8" s="68"/>
    </row>
    <row r="9">
      <c r="A9" s="133"/>
      <c r="B9" s="117" t="s">
        <v>326</v>
      </c>
      <c r="C9" s="144">
        <f t="shared" ref="C9:D9" si="1">(ROUND(C5*C6,0))</f>
        <v>99914100</v>
      </c>
      <c r="D9" s="144">
        <f t="shared" si="1"/>
        <v>13790400</v>
      </c>
      <c r="E9" s="144"/>
      <c r="F9" s="144"/>
      <c r="G9" s="144"/>
      <c r="H9" s="96"/>
      <c r="I9" s="145"/>
      <c r="J9" s="145"/>
      <c r="K9" s="146"/>
      <c r="L9" s="145"/>
      <c r="M9" s="146"/>
      <c r="N9" s="68"/>
      <c r="O9" s="68"/>
    </row>
    <row r="10" outlineLevel="1">
      <c r="A10" s="133"/>
      <c r="B10" s="134" t="s">
        <v>327</v>
      </c>
      <c r="C10" s="152">
        <v>10.0</v>
      </c>
      <c r="D10" s="152">
        <v>11.0</v>
      </c>
      <c r="E10" s="152"/>
      <c r="F10" s="152"/>
      <c r="G10" s="152"/>
      <c r="H10" s="96"/>
      <c r="I10" s="153"/>
      <c r="J10" s="153"/>
      <c r="K10" s="153"/>
      <c r="L10" s="153"/>
      <c r="M10" s="153" t="s">
        <v>328</v>
      </c>
      <c r="N10" s="68"/>
      <c r="O10" s="68"/>
    </row>
    <row r="11" outlineLevel="1">
      <c r="A11" s="133"/>
      <c r="B11" s="154" t="s">
        <v>329</v>
      </c>
      <c r="C11" s="155">
        <f>(RESUMEN!$C$13*C4*C6*C10)/1000000</f>
        <v>999.141</v>
      </c>
      <c r="D11" s="155">
        <f>(RESUMEN!$C$13*D4*D6*D10)/1000000</f>
        <v>151.6944</v>
      </c>
      <c r="E11" s="155"/>
      <c r="F11" s="155"/>
      <c r="G11" s="155"/>
      <c r="H11" s="289">
        <f>SUM(C11:G11)</f>
        <v>1150.8354</v>
      </c>
      <c r="I11" s="145"/>
      <c r="J11" s="145"/>
      <c r="K11" s="146"/>
      <c r="L11" s="145"/>
      <c r="M11" s="146"/>
      <c r="N11" s="68"/>
      <c r="O11" s="68"/>
    </row>
    <row r="12">
      <c r="A12" s="133"/>
      <c r="B12" s="148" t="s">
        <v>330</v>
      </c>
      <c r="C12" s="157">
        <v>0.9</v>
      </c>
      <c r="D12" s="157">
        <v>0.9</v>
      </c>
      <c r="E12" s="157"/>
      <c r="F12" s="157"/>
      <c r="G12" s="157"/>
      <c r="H12" s="96"/>
      <c r="K12" s="153"/>
      <c r="M12" s="153" t="s">
        <v>331</v>
      </c>
      <c r="N12" s="68"/>
      <c r="O12" s="68"/>
    </row>
    <row r="13">
      <c r="A13" s="133"/>
      <c r="B13" s="154" t="s">
        <v>332</v>
      </c>
      <c r="C13" s="158">
        <f t="shared" ref="C13:D13" si="2">(C12*C11)</f>
        <v>899.2269</v>
      </c>
      <c r="D13" s="158">
        <f t="shared" si="2"/>
        <v>136.52496</v>
      </c>
      <c r="E13" s="158"/>
      <c r="F13" s="158"/>
      <c r="G13" s="158"/>
      <c r="H13" s="159">
        <f>SUM(C13:G13)</f>
        <v>1035.75186</v>
      </c>
      <c r="K13" s="153"/>
      <c r="M13" s="153" t="s">
        <v>333</v>
      </c>
      <c r="N13" s="96"/>
      <c r="O13" s="96"/>
    </row>
    <row r="14">
      <c r="A14" s="133"/>
      <c r="B14" s="134" t="s">
        <v>334</v>
      </c>
      <c r="C14" s="160">
        <f t="shared" ref="C14:D14" si="3">1-C12</f>
        <v>0.1</v>
      </c>
      <c r="D14" s="160">
        <f t="shared" si="3"/>
        <v>0.1</v>
      </c>
      <c r="E14" s="160"/>
      <c r="F14" s="160"/>
      <c r="G14" s="160"/>
      <c r="H14" s="96"/>
      <c r="K14" s="153"/>
      <c r="M14" s="153" t="s">
        <v>335</v>
      </c>
      <c r="N14" s="96"/>
      <c r="O14" s="96"/>
    </row>
    <row r="15">
      <c r="A15" s="133"/>
      <c r="B15" s="161" t="s">
        <v>336</v>
      </c>
      <c r="C15" s="162">
        <f t="shared" ref="C15:D15" si="4">C14*C11</f>
        <v>99.9141</v>
      </c>
      <c r="D15" s="162">
        <f t="shared" si="4"/>
        <v>15.16944</v>
      </c>
      <c r="E15" s="162"/>
      <c r="F15" s="162"/>
      <c r="G15" s="162"/>
      <c r="H15" s="96"/>
      <c r="K15" s="145"/>
      <c r="M15" s="145"/>
      <c r="N15" s="96"/>
      <c r="O15" s="96"/>
    </row>
    <row r="16">
      <c r="A16" s="133"/>
      <c r="K16" s="163"/>
      <c r="M16" s="163"/>
    </row>
    <row r="17">
      <c r="A17" s="133"/>
      <c r="B17" s="164" t="s">
        <v>337</v>
      </c>
      <c r="C17" s="165"/>
      <c r="D17" s="165"/>
      <c r="E17" s="165"/>
      <c r="F17" s="165"/>
      <c r="G17" s="165"/>
      <c r="H17" s="96"/>
      <c r="K17" s="131"/>
      <c r="M17" s="131"/>
      <c r="N17" s="96"/>
      <c r="O17" s="96"/>
    </row>
    <row r="18">
      <c r="A18" s="133"/>
      <c r="B18" s="166" t="s">
        <v>338</v>
      </c>
      <c r="C18" s="167">
        <v>0.015</v>
      </c>
      <c r="D18" s="167">
        <v>0.02</v>
      </c>
      <c r="E18" s="167"/>
      <c r="F18" s="167"/>
      <c r="G18" s="167"/>
      <c r="H18" s="290" t="s">
        <v>20</v>
      </c>
      <c r="K18" s="169"/>
      <c r="M18" s="169"/>
      <c r="N18" s="96"/>
      <c r="O18" s="96"/>
    </row>
    <row r="19">
      <c r="A19" s="133"/>
      <c r="B19" s="170" t="s">
        <v>339</v>
      </c>
      <c r="C19" s="171">
        <f t="shared" ref="C19:D19" si="5">C13*C18</f>
        <v>13.4884035</v>
      </c>
      <c r="D19" s="171">
        <f t="shared" si="5"/>
        <v>2.7304992</v>
      </c>
      <c r="E19" s="171"/>
      <c r="F19" s="171"/>
      <c r="G19" s="171"/>
      <c r="H19" s="291">
        <f t="shared" ref="H19:H20" si="6">SUM(C19:G19)</f>
        <v>16.2189027</v>
      </c>
      <c r="J19" s="172">
        <f t="shared" ref="J19:J20" si="7">rounddown(H19-1,0)</f>
        <v>15</v>
      </c>
      <c r="K19" s="172">
        <f t="shared" ref="K19:K20" si="8">ROUNDUP(H19-1,0)+1</f>
        <v>17</v>
      </c>
      <c r="M19" s="153" t="s">
        <v>333</v>
      </c>
      <c r="N19" s="96"/>
      <c r="O19" s="96"/>
    </row>
    <row r="20">
      <c r="A20" s="133"/>
      <c r="B20" s="173" t="s">
        <v>340</v>
      </c>
      <c r="C20" s="174">
        <f>C19*RESUMEN!$C$15</f>
        <v>8.0930421</v>
      </c>
      <c r="D20" s="174">
        <f>D19*RESUMEN!$C$15</f>
        <v>1.63829952</v>
      </c>
      <c r="E20" s="174"/>
      <c r="F20" s="174"/>
      <c r="G20" s="174"/>
      <c r="H20" s="291">
        <f t="shared" si="6"/>
        <v>9.73134162</v>
      </c>
      <c r="J20" s="172">
        <f t="shared" si="7"/>
        <v>8</v>
      </c>
      <c r="K20" s="172">
        <f t="shared" si="8"/>
        <v>10</v>
      </c>
      <c r="M20" s="153" t="s">
        <v>333</v>
      </c>
      <c r="N20" s="96"/>
      <c r="O20" s="96"/>
    </row>
    <row r="21">
      <c r="A21" s="133"/>
      <c r="B21" s="68"/>
      <c r="C21" s="175"/>
      <c r="D21" s="175"/>
      <c r="E21" s="175"/>
      <c r="F21" s="175"/>
      <c r="G21" s="175"/>
      <c r="H21" s="292"/>
      <c r="K21" s="131"/>
      <c r="M21" s="131"/>
      <c r="N21" s="96"/>
      <c r="O21" s="96"/>
    </row>
    <row r="22">
      <c r="A22" s="133"/>
      <c r="B22" s="177" t="s">
        <v>341</v>
      </c>
      <c r="C22" s="178">
        <f t="shared" ref="C22:D22" si="9">C$11*C12+C19</f>
        <v>912.7153035</v>
      </c>
      <c r="D22" s="178">
        <f t="shared" si="9"/>
        <v>139.2554592</v>
      </c>
      <c r="E22" s="178"/>
      <c r="F22" s="178"/>
      <c r="G22" s="178"/>
      <c r="H22" s="293"/>
      <c r="K22" s="131"/>
      <c r="M22" s="131"/>
      <c r="N22" s="96"/>
      <c r="O22" s="96"/>
    </row>
    <row r="23">
      <c r="A23" s="133"/>
      <c r="B23" s="179" t="s">
        <v>342</v>
      </c>
      <c r="C23" s="180" t="s">
        <v>413</v>
      </c>
      <c r="D23" s="181" t="s">
        <v>414</v>
      </c>
      <c r="E23" s="181"/>
      <c r="F23" s="181"/>
      <c r="G23" s="181"/>
      <c r="H23" s="293"/>
      <c r="K23" s="153"/>
      <c r="M23" s="153" t="s">
        <v>344</v>
      </c>
      <c r="N23" s="68"/>
      <c r="O23" s="68"/>
    </row>
    <row r="24">
      <c r="A24" s="133"/>
      <c r="B24" s="182" t="s">
        <v>345</v>
      </c>
      <c r="C24" s="149">
        <f>if(C23="Yes",VLOOKUP(RESUMEN!$C$4,'Aceptance Rate Delta per Indust'!$B$3:$G$40,5,FALSE),VLOOKUP(RESUMEN!$C$4,'Aceptance Rate Delta per Indust'!$B$3:$G$40,6,FALSE))</f>
        <v>0.017</v>
      </c>
      <c r="D24" s="149">
        <f>if(D23="Yes",VLOOKUP(RESUMEN!$C$4,'Aceptance Rate Delta per Indust'!$B$3:$G$40,5,FALSE),VLOOKUP(RESUMEN!$C$4,'Aceptance Rate Delta per Indust'!$B$3:$G$40,6,FALSE))</f>
        <v>0.04</v>
      </c>
      <c r="E24" s="149"/>
      <c r="F24" s="149"/>
      <c r="G24" s="149"/>
      <c r="H24" s="293"/>
      <c r="I24" s="131"/>
      <c r="J24" s="131"/>
      <c r="K24" s="142"/>
      <c r="L24" s="131"/>
      <c r="M24" s="142" t="s">
        <v>346</v>
      </c>
      <c r="N24" s="68"/>
      <c r="O24" s="68"/>
    </row>
    <row r="25">
      <c r="A25" s="128"/>
      <c r="B25" s="183" t="s">
        <v>347</v>
      </c>
      <c r="C25" s="184">
        <f t="shared" ref="C25:D25" si="10">IFS(C23="Yes",-0.2%,C23="No",-1%)</f>
        <v>-0.002</v>
      </c>
      <c r="D25" s="184">
        <f t="shared" si="10"/>
        <v>-0.01</v>
      </c>
      <c r="E25" s="184"/>
      <c r="F25" s="184"/>
      <c r="G25" s="184"/>
      <c r="H25" s="293"/>
      <c r="I25" s="131"/>
      <c r="J25" s="131"/>
      <c r="K25" s="142"/>
      <c r="L25" s="131"/>
      <c r="M25" s="142" t="s">
        <v>348</v>
      </c>
      <c r="N25" s="68"/>
      <c r="O25" s="68"/>
    </row>
    <row r="26">
      <c r="A26" s="128"/>
      <c r="B26" s="185" t="s">
        <v>349</v>
      </c>
      <c r="C26" s="186">
        <f t="shared" ref="C26:D26" si="11">C24+C25</f>
        <v>0.015</v>
      </c>
      <c r="D26" s="186">
        <f t="shared" si="11"/>
        <v>0.03</v>
      </c>
      <c r="E26" s="294"/>
      <c r="F26" s="294"/>
      <c r="G26" s="294"/>
      <c r="H26" s="293"/>
      <c r="I26" s="169"/>
      <c r="J26" s="169"/>
      <c r="K26" s="132"/>
      <c r="L26" s="169"/>
      <c r="M26" s="132"/>
      <c r="N26" s="68"/>
      <c r="O26" s="68"/>
    </row>
    <row r="27">
      <c r="A27" s="128"/>
      <c r="B27" s="187" t="s">
        <v>350</v>
      </c>
      <c r="C27" s="188">
        <f t="shared" ref="C27:D27" si="12">C25*C22*-1</f>
        <v>1.825430607</v>
      </c>
      <c r="D27" s="188">
        <f t="shared" si="12"/>
        <v>1.392554592</v>
      </c>
      <c r="E27" s="189"/>
      <c r="F27" s="188"/>
      <c r="G27" s="188"/>
      <c r="H27" s="295">
        <f>SUM(C27:G27)</f>
        <v>3.217985199</v>
      </c>
      <c r="I27" s="190" t="s">
        <v>20</v>
      </c>
      <c r="J27" s="172">
        <f>rounddown(H27-1,0)</f>
        <v>2</v>
      </c>
      <c r="K27" s="172">
        <f>ROUNDUP(H27-1,0)+1</f>
        <v>4</v>
      </c>
      <c r="L27" s="153"/>
      <c r="M27" s="153" t="s">
        <v>333</v>
      </c>
      <c r="N27" s="68"/>
      <c r="O27" s="68"/>
    </row>
    <row r="28">
      <c r="A28" s="128"/>
      <c r="B28" s="68"/>
      <c r="C28" s="176"/>
      <c r="D28" s="176"/>
      <c r="E28" s="175"/>
      <c r="F28" s="175"/>
      <c r="G28" s="175"/>
      <c r="H28" s="68"/>
      <c r="I28" s="169"/>
      <c r="J28" s="169"/>
      <c r="K28" s="132"/>
      <c r="L28" s="169"/>
      <c r="M28" s="132"/>
      <c r="N28" s="68"/>
      <c r="O28" s="68"/>
    </row>
    <row r="29">
      <c r="A29" s="128"/>
      <c r="B29" s="187" t="s">
        <v>351</v>
      </c>
      <c r="C29" s="191">
        <f t="shared" ref="C29:D29" si="13">C27+C20</f>
        <v>9.918472707</v>
      </c>
      <c r="D29" s="191">
        <f t="shared" si="13"/>
        <v>3.030854112</v>
      </c>
      <c r="E29" s="296"/>
      <c r="F29" s="296"/>
      <c r="G29" s="296"/>
      <c r="H29" s="297">
        <f>SUM(C29:G29)</f>
        <v>12.94932682</v>
      </c>
      <c r="I29" s="169"/>
      <c r="J29" s="169" t="s">
        <v>20</v>
      </c>
      <c r="K29" s="142"/>
      <c r="L29" s="169"/>
      <c r="M29" s="142" t="s">
        <v>352</v>
      </c>
      <c r="N29" s="68"/>
      <c r="O29" s="68"/>
    </row>
    <row r="30">
      <c r="A30" s="128"/>
      <c r="B30" s="68"/>
      <c r="C30" s="175"/>
      <c r="D30" s="175"/>
      <c r="E30" s="175"/>
      <c r="F30" s="175"/>
      <c r="G30" s="175"/>
      <c r="H30" s="68"/>
      <c r="I30" s="194"/>
      <c r="J30" s="194"/>
      <c r="K30" s="132"/>
      <c r="L30" s="194"/>
      <c r="M30" s="132"/>
      <c r="N30" s="68"/>
      <c r="O30" s="68"/>
    </row>
    <row r="31">
      <c r="A31" s="128"/>
      <c r="B31" s="164" t="s">
        <v>353</v>
      </c>
      <c r="C31" s="195" t="s">
        <v>415</v>
      </c>
      <c r="D31" s="195" t="s">
        <v>416</v>
      </c>
      <c r="E31" s="195"/>
      <c r="F31" s="195"/>
      <c r="G31" s="195"/>
      <c r="H31" s="176"/>
      <c r="I31" s="196"/>
      <c r="J31" s="196"/>
      <c r="K31" s="142"/>
      <c r="L31" s="196"/>
      <c r="M31" s="142" t="s">
        <v>359</v>
      </c>
      <c r="N31" s="68"/>
      <c r="O31" s="68"/>
    </row>
    <row r="32">
      <c r="A32" s="128"/>
      <c r="B32" s="177" t="s">
        <v>360</v>
      </c>
      <c r="C32" s="178">
        <f t="shared" ref="C32:D32" si="14">C11*C14</f>
        <v>99.9141</v>
      </c>
      <c r="D32" s="178">
        <f t="shared" si="14"/>
        <v>15.16944</v>
      </c>
      <c r="E32" s="178"/>
      <c r="F32" s="178"/>
      <c r="G32" s="178"/>
      <c r="H32" s="176"/>
      <c r="I32" s="194"/>
      <c r="J32" s="194"/>
      <c r="K32" s="132"/>
      <c r="L32" s="194"/>
      <c r="M32" s="132"/>
      <c r="N32" s="68"/>
      <c r="O32" s="68"/>
    </row>
    <row r="33" outlineLevel="1">
      <c r="A33" s="128"/>
      <c r="B33" s="197" t="s">
        <v>361</v>
      </c>
      <c r="C33" s="180">
        <v>1.0</v>
      </c>
      <c r="D33" s="180">
        <v>3.0</v>
      </c>
      <c r="E33" s="180"/>
      <c r="F33" s="180"/>
      <c r="G33" s="180"/>
      <c r="H33" s="176"/>
      <c r="I33" s="194"/>
      <c r="J33" s="194"/>
      <c r="K33" s="142"/>
      <c r="L33" s="194"/>
      <c r="M33" s="142" t="s">
        <v>362</v>
      </c>
      <c r="N33" s="68"/>
      <c r="O33" s="68"/>
    </row>
    <row r="34">
      <c r="A34" s="71" t="s">
        <v>417</v>
      </c>
      <c r="B34" s="198" t="s">
        <v>363</v>
      </c>
      <c r="C34" s="199">
        <v>5.0</v>
      </c>
      <c r="D34" s="199">
        <v>4.0</v>
      </c>
      <c r="E34" s="199"/>
      <c r="F34" s="199"/>
      <c r="G34" s="199"/>
      <c r="H34" s="176"/>
      <c r="I34" s="194"/>
      <c r="J34" s="194"/>
      <c r="K34" s="142"/>
      <c r="L34" s="194"/>
      <c r="M34" s="142" t="s">
        <v>364</v>
      </c>
      <c r="N34" s="68"/>
      <c r="O34" s="68"/>
    </row>
    <row r="35">
      <c r="A35" s="128"/>
      <c r="B35" s="197"/>
      <c r="C35" s="200"/>
      <c r="D35" s="200"/>
      <c r="E35" s="200"/>
      <c r="F35" s="200"/>
      <c r="G35" s="200"/>
      <c r="H35" s="176"/>
      <c r="I35" s="194"/>
      <c r="J35" s="194"/>
      <c r="K35" s="132"/>
      <c r="L35" s="194"/>
      <c r="M35" s="132"/>
      <c r="N35" s="68"/>
      <c r="O35" s="68"/>
    </row>
    <row r="36">
      <c r="A36" s="71" t="s">
        <v>417</v>
      </c>
      <c r="B36" s="198" t="s">
        <v>365</v>
      </c>
      <c r="C36" s="201">
        <v>0.08</v>
      </c>
      <c r="D36" s="201">
        <v>0.1</v>
      </c>
      <c r="E36" s="201"/>
      <c r="F36" s="201"/>
      <c r="G36" s="201"/>
      <c r="I36" s="194"/>
      <c r="J36" s="194"/>
      <c r="K36" s="142"/>
      <c r="L36" s="194"/>
      <c r="M36" s="142" t="s">
        <v>366</v>
      </c>
      <c r="N36" s="68"/>
      <c r="O36" s="68"/>
    </row>
    <row r="37">
      <c r="A37" s="128"/>
      <c r="B37" s="202" t="s">
        <v>367</v>
      </c>
      <c r="C37" s="203">
        <f t="shared" ref="C37:D37" si="15">((1+C35)+(1+C36)-1)*C11-C11</f>
        <v>79.93128</v>
      </c>
      <c r="D37" s="203">
        <f t="shared" si="15"/>
        <v>15.16944</v>
      </c>
      <c r="E37" s="203"/>
      <c r="F37" s="203"/>
      <c r="G37" s="203"/>
      <c r="H37" s="203">
        <f>SUM(C37:G37)</f>
        <v>95.10072</v>
      </c>
      <c r="I37" s="131"/>
      <c r="J37" s="172">
        <f>rounddown(H37-1,0)</f>
        <v>94</v>
      </c>
      <c r="K37" s="172">
        <f>ROUNDUP(H37-1,0)+1</f>
        <v>96</v>
      </c>
      <c r="L37" s="131"/>
      <c r="M37" s="153" t="s">
        <v>333</v>
      </c>
      <c r="N37" s="68"/>
      <c r="O37" s="68"/>
    </row>
    <row r="38">
      <c r="A38" s="128"/>
      <c r="B38" s="68"/>
      <c r="C38" s="204"/>
      <c r="D38" s="204"/>
      <c r="E38" s="204"/>
      <c r="F38" s="204"/>
      <c r="G38" s="204"/>
      <c r="H38" s="205"/>
      <c r="I38" s="194"/>
      <c r="J38" s="194"/>
      <c r="K38" s="132"/>
      <c r="L38" s="194"/>
      <c r="M38" s="132"/>
      <c r="N38" s="68"/>
      <c r="O38" s="68"/>
    </row>
    <row r="39">
      <c r="A39" s="128"/>
      <c r="B39" s="187" t="s">
        <v>368</v>
      </c>
      <c r="C39" s="206">
        <f>C37*RESUMEN!$C$15</f>
        <v>47.958768</v>
      </c>
      <c r="D39" s="206">
        <f>D37*RESUMEN!$C$15</f>
        <v>9.101664</v>
      </c>
      <c r="E39" s="206"/>
      <c r="F39" s="206"/>
      <c r="G39" s="206"/>
      <c r="H39" s="203">
        <f>SUM(C39:G39)</f>
        <v>57.060432</v>
      </c>
      <c r="I39" s="190"/>
      <c r="J39" s="172">
        <f>rounddown(H39-1,0)</f>
        <v>56</v>
      </c>
      <c r="K39" s="172">
        <f>ROUNDUP(H39-1,0)+1</f>
        <v>58</v>
      </c>
      <c r="L39" s="190"/>
      <c r="M39" s="153" t="s">
        <v>333</v>
      </c>
      <c r="N39" s="68"/>
      <c r="O39" s="68"/>
    </row>
    <row r="40">
      <c r="A40" s="128"/>
      <c r="B40" s="68"/>
      <c r="C40" s="175"/>
      <c r="D40" s="175"/>
      <c r="E40" s="175"/>
      <c r="F40" s="175"/>
      <c r="G40" s="175"/>
      <c r="H40" s="176"/>
      <c r="I40" s="194"/>
      <c r="J40" s="194"/>
      <c r="K40" s="132"/>
      <c r="L40" s="194"/>
      <c r="M40" s="132"/>
      <c r="N40" s="68"/>
      <c r="O40" s="68"/>
    </row>
    <row r="41">
      <c r="A41" s="128"/>
      <c r="B41" s="197" t="s">
        <v>369</v>
      </c>
      <c r="C41" s="207">
        <v>0.03</v>
      </c>
      <c r="D41" s="207">
        <v>0.04</v>
      </c>
      <c r="E41" s="207"/>
      <c r="F41" s="207"/>
      <c r="G41" s="207"/>
      <c r="H41" s="176"/>
      <c r="I41" s="194"/>
      <c r="J41" s="194"/>
      <c r="K41" s="142"/>
      <c r="L41" s="194"/>
      <c r="M41" s="142" t="s">
        <v>370</v>
      </c>
      <c r="N41" s="68"/>
      <c r="O41" s="68"/>
    </row>
    <row r="42">
      <c r="A42" s="128"/>
      <c r="B42" s="208" t="s">
        <v>371</v>
      </c>
      <c r="C42" s="209">
        <f t="shared" ref="C42:D42" si="16">C41*C11</f>
        <v>29.97423</v>
      </c>
      <c r="D42" s="209">
        <f t="shared" si="16"/>
        <v>6.067776</v>
      </c>
      <c r="E42" s="209"/>
      <c r="F42" s="209"/>
      <c r="G42" s="209"/>
      <c r="H42" s="176"/>
      <c r="I42" s="194"/>
      <c r="J42" s="194"/>
      <c r="K42" s="132"/>
      <c r="L42" s="194"/>
      <c r="M42" s="132"/>
      <c r="N42" s="68"/>
      <c r="O42" s="68"/>
    </row>
    <row r="43">
      <c r="A43" s="128"/>
      <c r="B43" s="68"/>
      <c r="C43" s="175"/>
      <c r="D43" s="175"/>
      <c r="E43" s="175"/>
      <c r="F43" s="175"/>
      <c r="G43" s="175"/>
      <c r="H43" s="176"/>
      <c r="I43" s="194"/>
      <c r="J43" s="194"/>
      <c r="K43" s="132"/>
      <c r="L43" s="194"/>
      <c r="M43" s="132"/>
      <c r="N43" s="68"/>
      <c r="O43" s="68"/>
    </row>
    <row r="44">
      <c r="A44" s="128"/>
      <c r="B44" s="185" t="s">
        <v>372</v>
      </c>
      <c r="C44" s="210">
        <f t="shared" ref="C44:D44" si="17">C24</f>
        <v>0.017</v>
      </c>
      <c r="D44" s="210">
        <f t="shared" si="17"/>
        <v>0.04</v>
      </c>
      <c r="E44" s="298"/>
      <c r="F44" s="298"/>
      <c r="G44" s="298"/>
      <c r="H44" s="176"/>
      <c r="I44" s="194"/>
      <c r="J44" s="194"/>
      <c r="K44" s="132"/>
      <c r="L44" s="194"/>
      <c r="M44" s="132"/>
      <c r="N44" s="68"/>
      <c r="O44" s="68"/>
    </row>
    <row r="45">
      <c r="A45" s="128"/>
      <c r="B45" s="211" t="s">
        <v>373</v>
      </c>
      <c r="C45" s="212">
        <v>0.012</v>
      </c>
      <c r="D45" s="212">
        <v>0.012</v>
      </c>
      <c r="E45" s="212"/>
      <c r="F45" s="212"/>
      <c r="G45" s="212"/>
      <c r="H45" s="176"/>
      <c r="I45" s="194"/>
      <c r="J45" s="194"/>
      <c r="K45" s="132"/>
      <c r="L45" s="194"/>
      <c r="M45" s="132"/>
      <c r="N45" s="68"/>
      <c r="O45" s="68"/>
    </row>
    <row r="46">
      <c r="A46" s="128"/>
      <c r="B46" s="68"/>
      <c r="C46" s="130"/>
      <c r="D46" s="130"/>
      <c r="E46" s="130"/>
      <c r="F46" s="130"/>
      <c r="G46" s="130"/>
      <c r="H46" s="176"/>
      <c r="I46" s="194"/>
      <c r="J46" s="194"/>
      <c r="K46" s="132"/>
      <c r="L46" s="194"/>
      <c r="M46" s="132"/>
      <c r="N46" s="68"/>
      <c r="O46" s="68"/>
    </row>
    <row r="47">
      <c r="A47" s="128"/>
      <c r="B47" s="187" t="s">
        <v>374</v>
      </c>
      <c r="C47" s="203">
        <f t="shared" ref="C47:D47" si="18">(C42+C37)*(C44-C45)</f>
        <v>0.54952755</v>
      </c>
      <c r="D47" s="203">
        <f t="shared" si="18"/>
        <v>0.594642048</v>
      </c>
      <c r="E47" s="203"/>
      <c r="F47" s="203"/>
      <c r="G47" s="203"/>
      <c r="H47" s="203">
        <f>SUM(C47:G47)</f>
        <v>1.144169598</v>
      </c>
      <c r="I47" s="190"/>
      <c r="J47" s="213">
        <f>if(H47&gt;1,ROUNDUP(H47-1,0),H47)</f>
        <v>1</v>
      </c>
      <c r="K47" s="213">
        <f>if(H47&gt;1,ROUNDUP(H47-1,0),H47)+2</f>
        <v>3</v>
      </c>
      <c r="L47" s="190"/>
      <c r="M47" s="153" t="s">
        <v>333</v>
      </c>
      <c r="N47" s="68"/>
      <c r="O47" s="68"/>
    </row>
    <row r="48">
      <c r="A48" s="128"/>
      <c r="B48" s="68"/>
      <c r="C48" s="96"/>
      <c r="D48" s="96"/>
      <c r="E48" s="96"/>
      <c r="F48" s="96"/>
      <c r="G48" s="96"/>
      <c r="H48" s="176"/>
      <c r="I48" s="169"/>
      <c r="J48" s="169"/>
      <c r="K48" s="132"/>
      <c r="L48" s="169"/>
      <c r="M48" s="132"/>
      <c r="N48" s="68"/>
      <c r="O48" s="68"/>
    </row>
    <row r="49">
      <c r="A49" s="128"/>
      <c r="B49" s="187" t="s">
        <v>375</v>
      </c>
      <c r="C49" s="214">
        <f t="shared" ref="C49:D49" si="19">C47+C39</f>
        <v>48.50829555</v>
      </c>
      <c r="D49" s="214">
        <f t="shared" si="19"/>
        <v>9.696306048</v>
      </c>
      <c r="E49" s="299"/>
      <c r="F49" s="299"/>
      <c r="G49" s="299"/>
      <c r="H49" s="215">
        <f>SUM(C49:G49)</f>
        <v>58.2046016</v>
      </c>
      <c r="I49" s="194"/>
      <c r="J49" s="194"/>
      <c r="K49" s="142"/>
      <c r="L49" s="194"/>
      <c r="M49" s="142" t="s">
        <v>376</v>
      </c>
      <c r="N49" s="68"/>
      <c r="O49" s="68"/>
    </row>
    <row r="50">
      <c r="A50" s="128"/>
      <c r="H50" s="176"/>
      <c r="I50" s="194"/>
      <c r="J50" s="194"/>
      <c r="K50" s="132"/>
      <c r="L50" s="194"/>
      <c r="M50" s="132"/>
      <c r="N50" s="68"/>
      <c r="O50" s="68"/>
    </row>
    <row r="51">
      <c r="A51" s="128"/>
      <c r="H51" s="176"/>
      <c r="I51" s="194"/>
      <c r="J51" s="194"/>
      <c r="K51" s="132"/>
      <c r="L51" s="194"/>
      <c r="M51" s="132"/>
      <c r="N51" s="68"/>
      <c r="O51" s="68"/>
    </row>
    <row r="52">
      <c r="A52" s="128"/>
      <c r="B52" s="68"/>
      <c r="C52" s="175"/>
      <c r="D52" s="175"/>
      <c r="E52" s="175"/>
      <c r="F52" s="175"/>
      <c r="G52" s="175"/>
      <c r="H52" s="176"/>
      <c r="I52" s="194"/>
      <c r="J52" s="194"/>
      <c r="K52" s="132"/>
      <c r="L52" s="194"/>
      <c r="M52" s="132"/>
      <c r="N52" s="68"/>
      <c r="O52" s="68"/>
    </row>
    <row r="53">
      <c r="A53" s="128"/>
      <c r="B53" s="68"/>
      <c r="C53" s="175"/>
      <c r="D53" s="175"/>
      <c r="E53" s="175"/>
      <c r="F53" s="175"/>
      <c r="G53" s="175"/>
      <c r="H53" s="176"/>
      <c r="I53" s="194"/>
      <c r="J53" s="194"/>
      <c r="K53" s="132"/>
      <c r="L53" s="194"/>
      <c r="M53" s="132"/>
      <c r="N53" s="68"/>
      <c r="O53" s="68"/>
    </row>
    <row r="54">
      <c r="A54" s="128"/>
      <c r="B54" s="216"/>
      <c r="C54" s="217"/>
      <c r="D54" s="217"/>
      <c r="E54" s="217"/>
      <c r="F54" s="217"/>
      <c r="G54" s="217"/>
      <c r="H54" s="176"/>
      <c r="I54" s="194"/>
      <c r="J54" s="194"/>
      <c r="K54" s="132"/>
      <c r="L54" s="194"/>
      <c r="M54" s="132"/>
      <c r="N54" s="68"/>
      <c r="O54" s="68"/>
    </row>
    <row r="55">
      <c r="A55" s="128"/>
      <c r="B55" s="216"/>
      <c r="C55" s="217"/>
      <c r="D55" s="217"/>
      <c r="E55" s="217"/>
      <c r="F55" s="217"/>
      <c r="G55" s="217"/>
      <c r="H55" s="176"/>
      <c r="I55" s="194"/>
      <c r="J55" s="194"/>
      <c r="K55" s="132"/>
      <c r="L55" s="194"/>
      <c r="M55" s="132"/>
      <c r="N55" s="68"/>
      <c r="O55" s="68"/>
    </row>
    <row r="56">
      <c r="A56" s="128"/>
      <c r="B56" s="216"/>
      <c r="C56" s="217"/>
      <c r="D56" s="217"/>
      <c r="E56" s="217"/>
      <c r="F56" s="217"/>
      <c r="G56" s="217"/>
      <c r="H56" s="176"/>
      <c r="I56" s="194"/>
      <c r="J56" s="194"/>
      <c r="K56" s="132"/>
      <c r="L56" s="194"/>
      <c r="M56" s="132"/>
      <c r="N56" s="68"/>
      <c r="O56" s="68"/>
    </row>
    <row r="57">
      <c r="A57" s="128"/>
      <c r="B57" s="216"/>
      <c r="C57" s="217"/>
      <c r="D57" s="217"/>
      <c r="E57" s="217"/>
      <c r="F57" s="217"/>
      <c r="G57" s="217"/>
      <c r="H57" s="176"/>
      <c r="I57" s="194"/>
      <c r="J57" s="194"/>
      <c r="K57" s="132"/>
      <c r="L57" s="194"/>
      <c r="M57" s="132"/>
      <c r="N57" s="68"/>
      <c r="O57" s="68"/>
    </row>
    <row r="58">
      <c r="A58" s="128"/>
      <c r="B58" s="216"/>
      <c r="C58" s="217"/>
      <c r="D58" s="217"/>
      <c r="E58" s="217"/>
      <c r="F58" s="217"/>
      <c r="G58" s="217"/>
      <c r="H58" s="176"/>
      <c r="I58" s="194"/>
      <c r="J58" s="194"/>
      <c r="K58" s="132"/>
      <c r="L58" s="194"/>
      <c r="M58" s="132"/>
      <c r="N58" s="68"/>
      <c r="O58" s="68"/>
    </row>
    <row r="59">
      <c r="A59" s="128"/>
      <c r="B59" s="216"/>
      <c r="C59" s="217"/>
      <c r="D59" s="217"/>
      <c r="E59" s="217"/>
      <c r="F59" s="217"/>
      <c r="G59" s="217"/>
      <c r="H59" s="176"/>
      <c r="I59" s="194"/>
      <c r="J59" s="194"/>
      <c r="K59" s="132"/>
      <c r="L59" s="194"/>
      <c r="M59" s="132"/>
      <c r="N59" s="68"/>
      <c r="O59" s="68"/>
    </row>
    <row r="60">
      <c r="A60" s="128"/>
      <c r="B60" s="216"/>
      <c r="C60" s="217"/>
      <c r="D60" s="217"/>
      <c r="E60" s="217"/>
      <c r="F60" s="217"/>
      <c r="G60" s="217"/>
      <c r="H60" s="176"/>
      <c r="I60" s="194"/>
      <c r="J60" s="194"/>
      <c r="K60" s="132"/>
      <c r="L60" s="194"/>
      <c r="M60" s="132"/>
      <c r="N60" s="68"/>
      <c r="O60" s="68"/>
    </row>
    <row r="61">
      <c r="A61" s="128"/>
      <c r="B61" s="216"/>
      <c r="C61" s="217"/>
      <c r="D61" s="217"/>
      <c r="E61" s="217"/>
      <c r="F61" s="217"/>
      <c r="G61" s="217"/>
      <c r="H61" s="176"/>
      <c r="I61" s="194"/>
      <c r="J61" s="194"/>
      <c r="K61" s="132"/>
      <c r="L61" s="194"/>
      <c r="M61" s="132"/>
      <c r="N61" s="68"/>
      <c r="O61" s="68"/>
    </row>
    <row r="62">
      <c r="A62" s="128"/>
      <c r="B62" s="216"/>
      <c r="C62" s="217"/>
      <c r="D62" s="217"/>
      <c r="E62" s="217"/>
      <c r="F62" s="217"/>
      <c r="G62" s="217"/>
      <c r="H62" s="176"/>
      <c r="I62" s="194"/>
      <c r="J62" s="194"/>
      <c r="K62" s="132"/>
      <c r="L62" s="194"/>
      <c r="M62" s="132"/>
      <c r="N62" s="68"/>
      <c r="O62" s="68"/>
    </row>
    <row r="63">
      <c r="A63" s="128"/>
      <c r="B63" s="216"/>
      <c r="C63" s="217"/>
      <c r="D63" s="217"/>
      <c r="E63" s="217"/>
      <c r="F63" s="217"/>
      <c r="G63" s="217"/>
      <c r="H63" s="176"/>
      <c r="I63" s="194"/>
      <c r="J63" s="194"/>
      <c r="K63" s="132"/>
      <c r="L63" s="194"/>
      <c r="M63" s="132"/>
      <c r="N63" s="68"/>
      <c r="O63" s="68"/>
    </row>
    <row r="64">
      <c r="A64" s="128"/>
      <c r="B64" s="216"/>
      <c r="C64" s="217"/>
      <c r="D64" s="217"/>
      <c r="E64" s="217"/>
      <c r="F64" s="217"/>
      <c r="G64" s="217"/>
      <c r="H64" s="176"/>
      <c r="I64" s="194"/>
      <c r="J64" s="194"/>
      <c r="K64" s="132"/>
      <c r="L64" s="194"/>
      <c r="M64" s="132"/>
      <c r="N64" s="68"/>
      <c r="O64" s="68"/>
    </row>
    <row r="65">
      <c r="A65" s="128"/>
      <c r="B65" s="216"/>
      <c r="C65" s="217"/>
      <c r="D65" s="217"/>
      <c r="E65" s="217"/>
      <c r="F65" s="217"/>
      <c r="G65" s="217"/>
      <c r="H65" s="176"/>
      <c r="I65" s="194"/>
      <c r="J65" s="194"/>
      <c r="K65" s="132"/>
      <c r="L65" s="194"/>
      <c r="M65" s="132"/>
      <c r="N65" s="68"/>
      <c r="O65" s="68"/>
    </row>
    <row r="66">
      <c r="A66" s="128"/>
      <c r="B66" s="216"/>
      <c r="C66" s="217"/>
      <c r="D66" s="217"/>
      <c r="E66" s="217"/>
      <c r="F66" s="217"/>
      <c r="G66" s="217"/>
      <c r="H66" s="176"/>
      <c r="I66" s="194"/>
      <c r="J66" s="194"/>
      <c r="K66" s="132"/>
      <c r="L66" s="194"/>
      <c r="M66" s="132"/>
      <c r="N66" s="68"/>
      <c r="O66" s="68"/>
    </row>
    <row r="67">
      <c r="A67" s="128"/>
      <c r="B67" s="216"/>
      <c r="C67" s="217"/>
      <c r="D67" s="217"/>
      <c r="E67" s="217"/>
      <c r="F67" s="217"/>
      <c r="G67" s="217"/>
      <c r="H67" s="176"/>
      <c r="I67" s="194"/>
      <c r="J67" s="194"/>
      <c r="K67" s="132"/>
      <c r="L67" s="194"/>
      <c r="M67" s="132"/>
      <c r="N67" s="68"/>
      <c r="O67" s="68"/>
    </row>
    <row r="68">
      <c r="A68" s="128"/>
      <c r="B68" s="216"/>
      <c r="C68" s="217"/>
      <c r="D68" s="217"/>
      <c r="E68" s="217"/>
      <c r="F68" s="217"/>
      <c r="G68" s="217"/>
      <c r="H68" s="176"/>
      <c r="I68" s="194"/>
      <c r="J68" s="194"/>
      <c r="K68" s="132"/>
      <c r="L68" s="194"/>
      <c r="M68" s="132"/>
      <c r="N68" s="68"/>
      <c r="O68" s="68"/>
    </row>
    <row r="69">
      <c r="A69" s="128"/>
      <c r="B69" s="216"/>
      <c r="C69" s="217"/>
      <c r="D69" s="217"/>
      <c r="E69" s="217"/>
      <c r="F69" s="217"/>
      <c r="G69" s="217"/>
      <c r="H69" s="176"/>
      <c r="I69" s="194"/>
      <c r="J69" s="194"/>
      <c r="K69" s="132"/>
      <c r="L69" s="194"/>
      <c r="M69" s="132"/>
      <c r="N69" s="68"/>
      <c r="O69" s="68"/>
    </row>
    <row r="70">
      <c r="A70" s="128"/>
      <c r="B70" s="216"/>
      <c r="C70" s="217"/>
      <c r="D70" s="217"/>
      <c r="E70" s="217"/>
      <c r="F70" s="217"/>
      <c r="G70" s="217"/>
      <c r="H70" s="176"/>
      <c r="I70" s="194"/>
      <c r="J70" s="194"/>
      <c r="K70" s="132"/>
      <c r="L70" s="194"/>
      <c r="M70" s="132"/>
      <c r="N70" s="68"/>
      <c r="O70" s="68"/>
    </row>
    <row r="71">
      <c r="A71" s="128"/>
      <c r="B71" s="216"/>
      <c r="C71" s="217"/>
      <c r="D71" s="217"/>
      <c r="E71" s="217"/>
      <c r="F71" s="217"/>
      <c r="G71" s="217"/>
      <c r="H71" s="176"/>
      <c r="I71" s="194"/>
      <c r="J71" s="194"/>
      <c r="K71" s="132"/>
      <c r="L71" s="194"/>
      <c r="M71" s="132"/>
      <c r="N71" s="68"/>
      <c r="O71" s="68"/>
    </row>
    <row r="72">
      <c r="A72" s="128"/>
      <c r="B72" s="216"/>
      <c r="C72" s="217"/>
      <c r="D72" s="217"/>
      <c r="E72" s="217"/>
      <c r="F72" s="217"/>
      <c r="G72" s="217"/>
      <c r="H72" s="176"/>
      <c r="I72" s="194"/>
      <c r="J72" s="194"/>
      <c r="K72" s="132"/>
      <c r="L72" s="194"/>
      <c r="M72" s="132"/>
      <c r="N72" s="68"/>
      <c r="O72" s="68"/>
    </row>
    <row r="73">
      <c r="A73" s="128"/>
      <c r="B73" s="216"/>
      <c r="C73" s="217"/>
      <c r="D73" s="217"/>
      <c r="E73" s="217"/>
      <c r="F73" s="217"/>
      <c r="G73" s="217"/>
      <c r="H73" s="176"/>
      <c r="I73" s="194"/>
      <c r="J73" s="194"/>
      <c r="K73" s="132"/>
      <c r="L73" s="194"/>
      <c r="M73" s="132"/>
      <c r="N73" s="68"/>
      <c r="O73" s="68"/>
    </row>
    <row r="74">
      <c r="A74" s="128"/>
      <c r="B74" s="216"/>
      <c r="C74" s="217"/>
      <c r="D74" s="217"/>
      <c r="E74" s="217"/>
      <c r="F74" s="217"/>
      <c r="G74" s="217"/>
      <c r="H74" s="176"/>
      <c r="I74" s="194"/>
      <c r="J74" s="194"/>
      <c r="K74" s="132"/>
      <c r="L74" s="194"/>
      <c r="M74" s="132"/>
      <c r="N74" s="68"/>
      <c r="O74" s="68"/>
    </row>
    <row r="75">
      <c r="A75" s="128"/>
      <c r="B75" s="216"/>
      <c r="C75" s="217"/>
      <c r="D75" s="217"/>
      <c r="E75" s="217"/>
      <c r="F75" s="217"/>
      <c r="G75" s="217"/>
      <c r="H75" s="176"/>
      <c r="I75" s="194"/>
      <c r="J75" s="194"/>
      <c r="K75" s="132"/>
      <c r="L75" s="194"/>
      <c r="M75" s="132"/>
      <c r="N75" s="68"/>
      <c r="O75" s="68"/>
    </row>
    <row r="76">
      <c r="A76" s="128"/>
      <c r="B76" s="216"/>
      <c r="C76" s="217"/>
      <c r="D76" s="217"/>
      <c r="E76" s="217"/>
      <c r="F76" s="217"/>
      <c r="G76" s="217"/>
      <c r="H76" s="176"/>
      <c r="I76" s="194"/>
      <c r="J76" s="194"/>
      <c r="K76" s="132"/>
      <c r="L76" s="194"/>
      <c r="M76" s="132"/>
      <c r="N76" s="68"/>
      <c r="O76" s="68"/>
    </row>
    <row r="77">
      <c r="A77" s="128"/>
      <c r="B77" s="216"/>
      <c r="C77" s="217"/>
      <c r="D77" s="217"/>
      <c r="E77" s="217"/>
      <c r="F77" s="217"/>
      <c r="G77" s="217"/>
      <c r="H77" s="176"/>
      <c r="I77" s="194"/>
      <c r="J77" s="194"/>
      <c r="K77" s="132"/>
      <c r="L77" s="194"/>
      <c r="M77" s="132"/>
      <c r="N77" s="68"/>
      <c r="O77" s="68"/>
    </row>
    <row r="78">
      <c r="A78" s="128"/>
      <c r="B78" s="216"/>
      <c r="C78" s="217"/>
      <c r="D78" s="217"/>
      <c r="E78" s="217"/>
      <c r="F78" s="217"/>
      <c r="G78" s="217"/>
      <c r="H78" s="176"/>
      <c r="I78" s="194"/>
      <c r="J78" s="194"/>
      <c r="K78" s="132"/>
      <c r="L78" s="194"/>
      <c r="M78" s="132"/>
      <c r="N78" s="68"/>
      <c r="O78" s="68"/>
    </row>
    <row r="79">
      <c r="A79" s="128"/>
      <c r="B79" s="216"/>
      <c r="C79" s="217"/>
      <c r="D79" s="217"/>
      <c r="E79" s="217"/>
      <c r="F79" s="217"/>
      <c r="G79" s="217"/>
      <c r="H79" s="176"/>
      <c r="I79" s="194"/>
      <c r="J79" s="194"/>
      <c r="K79" s="132"/>
      <c r="L79" s="194"/>
      <c r="M79" s="132"/>
      <c r="N79" s="68"/>
      <c r="O79" s="68"/>
    </row>
    <row r="80">
      <c r="A80" s="128"/>
      <c r="B80" s="216"/>
      <c r="C80" s="217"/>
      <c r="D80" s="217"/>
      <c r="E80" s="217"/>
      <c r="F80" s="217"/>
      <c r="G80" s="217"/>
      <c r="H80" s="176"/>
      <c r="I80" s="194"/>
      <c r="J80" s="194"/>
      <c r="K80" s="132"/>
      <c r="L80" s="194"/>
      <c r="M80" s="132"/>
      <c r="N80" s="68"/>
      <c r="O80" s="68"/>
    </row>
    <row r="81">
      <c r="A81" s="128"/>
      <c r="B81" s="216"/>
      <c r="C81" s="217"/>
      <c r="D81" s="217"/>
      <c r="E81" s="217"/>
      <c r="F81" s="217"/>
      <c r="G81" s="217"/>
      <c r="H81" s="176"/>
      <c r="I81" s="194"/>
      <c r="J81" s="194"/>
      <c r="K81" s="132"/>
      <c r="L81" s="194"/>
      <c r="M81" s="132"/>
      <c r="N81" s="68"/>
      <c r="O81" s="68"/>
    </row>
    <row r="82">
      <c r="A82" s="128"/>
      <c r="B82" s="216"/>
      <c r="C82" s="217"/>
      <c r="D82" s="217"/>
      <c r="E82" s="217"/>
      <c r="F82" s="217"/>
      <c r="G82" s="217"/>
      <c r="H82" s="176"/>
      <c r="I82" s="194"/>
      <c r="J82" s="194"/>
      <c r="K82" s="132"/>
      <c r="L82" s="194"/>
      <c r="M82" s="132"/>
      <c r="N82" s="68"/>
      <c r="O82" s="68"/>
    </row>
    <row r="83">
      <c r="A83" s="128"/>
      <c r="B83" s="216"/>
      <c r="C83" s="217"/>
      <c r="D83" s="217"/>
      <c r="E83" s="217"/>
      <c r="F83" s="217"/>
      <c r="G83" s="217"/>
      <c r="H83" s="176"/>
      <c r="I83" s="194"/>
      <c r="J83" s="194"/>
      <c r="K83" s="132"/>
      <c r="L83" s="194"/>
      <c r="M83" s="132"/>
      <c r="N83" s="68"/>
      <c r="O83" s="68"/>
    </row>
    <row r="84">
      <c r="A84" s="128"/>
      <c r="B84" s="216"/>
      <c r="C84" s="217"/>
      <c r="D84" s="217"/>
      <c r="E84" s="217"/>
      <c r="F84" s="217"/>
      <c r="G84" s="217"/>
      <c r="H84" s="176"/>
      <c r="I84" s="194"/>
      <c r="J84" s="194"/>
      <c r="K84" s="132"/>
      <c r="L84" s="194"/>
      <c r="M84" s="132"/>
      <c r="N84" s="68"/>
      <c r="O84" s="68"/>
    </row>
    <row r="85">
      <c r="A85" s="128"/>
      <c r="B85" s="216"/>
      <c r="C85" s="217"/>
      <c r="D85" s="217"/>
      <c r="E85" s="217"/>
      <c r="F85" s="217"/>
      <c r="G85" s="217"/>
      <c r="H85" s="176"/>
      <c r="I85" s="194"/>
      <c r="J85" s="194"/>
      <c r="K85" s="132"/>
      <c r="L85" s="194"/>
      <c r="M85" s="132"/>
      <c r="N85" s="68"/>
      <c r="O85" s="68"/>
    </row>
    <row r="86">
      <c r="A86" s="128"/>
      <c r="B86" s="216"/>
      <c r="C86" s="217"/>
      <c r="D86" s="217"/>
      <c r="E86" s="217"/>
      <c r="F86" s="217"/>
      <c r="G86" s="217"/>
      <c r="H86" s="176"/>
      <c r="I86" s="194"/>
      <c r="J86" s="194"/>
      <c r="K86" s="132"/>
      <c r="L86" s="194"/>
      <c r="M86" s="132"/>
      <c r="N86" s="68"/>
      <c r="O86" s="68"/>
    </row>
    <row r="87">
      <c r="A87" s="128"/>
      <c r="B87" s="216"/>
      <c r="C87" s="217"/>
      <c r="D87" s="217"/>
      <c r="E87" s="217"/>
      <c r="F87" s="217"/>
      <c r="G87" s="217"/>
      <c r="H87" s="176"/>
      <c r="I87" s="194"/>
      <c r="J87" s="194"/>
      <c r="K87" s="132"/>
      <c r="L87" s="194"/>
      <c r="M87" s="132"/>
      <c r="N87" s="68"/>
      <c r="O87" s="68"/>
    </row>
    <row r="88">
      <c r="A88" s="128"/>
      <c r="B88" s="216"/>
      <c r="C88" s="217"/>
      <c r="D88" s="217"/>
      <c r="E88" s="217"/>
      <c r="F88" s="217"/>
      <c r="G88" s="217"/>
      <c r="H88" s="176"/>
      <c r="I88" s="194"/>
      <c r="J88" s="194"/>
      <c r="K88" s="132"/>
      <c r="L88" s="194"/>
      <c r="M88" s="132"/>
      <c r="N88" s="68"/>
      <c r="O88" s="68"/>
    </row>
    <row r="89">
      <c r="A89" s="128"/>
      <c r="B89" s="216"/>
      <c r="C89" s="217"/>
      <c r="D89" s="217"/>
      <c r="E89" s="217"/>
      <c r="F89" s="217"/>
      <c r="G89" s="217"/>
      <c r="H89" s="176"/>
      <c r="I89" s="194"/>
      <c r="J89" s="194"/>
      <c r="K89" s="132"/>
      <c r="L89" s="194"/>
      <c r="M89" s="132"/>
      <c r="N89" s="68"/>
      <c r="O89" s="68"/>
    </row>
  </sheetData>
  <mergeCells count="1">
    <mergeCell ref="C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8"/>
      <c r="B1" s="68"/>
      <c r="C1" s="175"/>
      <c r="D1" s="128"/>
      <c r="E1" s="129"/>
      <c r="F1" s="130"/>
      <c r="G1" s="130"/>
      <c r="H1" s="130"/>
      <c r="I1" s="130"/>
      <c r="J1" s="130"/>
      <c r="K1" s="218"/>
      <c r="L1" s="218"/>
      <c r="M1" s="68"/>
      <c r="N1" s="68"/>
      <c r="O1" s="68"/>
      <c r="P1" s="68"/>
      <c r="Q1" s="68"/>
    </row>
    <row r="2">
      <c r="A2" s="68"/>
      <c r="B2" s="221" t="s">
        <v>267</v>
      </c>
      <c r="C2" s="222" t="s">
        <v>418</v>
      </c>
      <c r="D2" s="133"/>
      <c r="E2" s="134"/>
      <c r="F2" s="135" t="s">
        <v>377</v>
      </c>
      <c r="K2" s="218"/>
      <c r="L2" s="218"/>
      <c r="M2" s="68"/>
      <c r="N2" s="68"/>
      <c r="O2" s="68"/>
      <c r="P2" s="68"/>
      <c r="Q2" s="68"/>
    </row>
    <row r="3">
      <c r="A3" s="68"/>
      <c r="B3" s="248"/>
      <c r="C3" s="133"/>
      <c r="D3" s="133"/>
      <c r="E3" s="136" t="s">
        <v>311</v>
      </c>
      <c r="F3" s="300" t="str">
        <f>' BC Pay-ins NA'!C3</f>
        <v>United States</v>
      </c>
      <c r="G3" s="300" t="str">
        <f>' BC Pay-ins NA'!D3</f>
        <v>Canada</v>
      </c>
      <c r="H3" s="300" t="str">
        <f>' BC Pay-ins NA'!E3</f>
        <v/>
      </c>
      <c r="I3" s="300" t="str">
        <f>' BC Pay-ins NA'!F3</f>
        <v/>
      </c>
      <c r="J3" s="300" t="str">
        <f>' BC Pay-ins NA'!G3</f>
        <v/>
      </c>
      <c r="K3" s="138" t="s">
        <v>378</v>
      </c>
      <c r="L3" s="138" t="s">
        <v>379</v>
      </c>
      <c r="M3" s="138" t="s">
        <v>380</v>
      </c>
      <c r="N3" s="68"/>
      <c r="O3" s="68"/>
      <c r="P3" s="68"/>
      <c r="Q3" s="68"/>
    </row>
    <row r="4">
      <c r="A4" s="68"/>
      <c r="B4" s="219" t="s">
        <v>84</v>
      </c>
      <c r="C4" s="220" t="s">
        <v>6</v>
      </c>
      <c r="D4" s="133"/>
      <c r="E4" s="223" t="s">
        <v>353</v>
      </c>
      <c r="F4" s="224"/>
      <c r="G4" s="224"/>
      <c r="H4" s="224"/>
      <c r="I4" s="224"/>
      <c r="J4" s="224"/>
      <c r="K4" s="223"/>
      <c r="L4" s="223"/>
      <c r="M4" s="223"/>
      <c r="N4" s="68"/>
      <c r="O4" s="68"/>
      <c r="P4" s="117" t="s">
        <v>419</v>
      </c>
      <c r="Q4" s="68"/>
    </row>
    <row r="5">
      <c r="A5" s="68"/>
      <c r="B5" s="225" t="s">
        <v>28</v>
      </c>
      <c r="C5" s="226" t="s">
        <v>64</v>
      </c>
      <c r="D5" s="133"/>
      <c r="E5" s="197" t="s">
        <v>361</v>
      </c>
      <c r="F5" s="227">
        <f>' BC Pay-ins NA'!C33</f>
        <v>1</v>
      </c>
      <c r="G5" s="227">
        <f>' BC Pay-ins NA'!D33</f>
        <v>3</v>
      </c>
      <c r="H5" s="227"/>
      <c r="I5" s="227"/>
      <c r="J5" s="227"/>
      <c r="L5" s="228">
        <f t="shared" ref="L5:L6" si="1">SUM(F5:J5)</f>
        <v>4</v>
      </c>
      <c r="M5" s="133"/>
      <c r="N5" s="96"/>
      <c r="O5" s="68"/>
      <c r="P5" s="68"/>
      <c r="Q5" s="68"/>
    </row>
    <row r="6">
      <c r="A6" s="68"/>
      <c r="B6" s="68"/>
      <c r="C6" s="175"/>
      <c r="D6" s="133"/>
      <c r="E6" s="198" t="s">
        <v>363</v>
      </c>
      <c r="F6" s="227">
        <f>' BC Pay-ins NA'!C34</f>
        <v>5</v>
      </c>
      <c r="G6" s="227">
        <f>' BC Pay-ins NA'!D34</f>
        <v>4</v>
      </c>
      <c r="H6" s="227"/>
      <c r="I6" s="227"/>
      <c r="J6" s="227"/>
      <c r="L6" s="229">
        <f t="shared" si="1"/>
        <v>9</v>
      </c>
      <c r="M6" s="133"/>
      <c r="N6" s="96"/>
      <c r="O6" s="68"/>
      <c r="P6" s="68"/>
      <c r="Q6" s="68"/>
    </row>
    <row r="7">
      <c r="A7" s="68"/>
      <c r="B7" s="68"/>
      <c r="C7" s="68"/>
      <c r="D7" s="133"/>
      <c r="E7" s="197" t="s">
        <v>382</v>
      </c>
      <c r="F7" s="230">
        <f t="shared" ref="F7:G7" si="2">$C$11</f>
        <v>3</v>
      </c>
      <c r="G7" s="230">
        <f t="shared" si="2"/>
        <v>3</v>
      </c>
      <c r="H7" s="230"/>
      <c r="I7" s="230"/>
      <c r="J7" s="230"/>
      <c r="L7" s="231">
        <v>3.0</v>
      </c>
      <c r="M7" s="133"/>
      <c r="N7" s="96"/>
      <c r="O7" s="68"/>
      <c r="P7" s="68"/>
      <c r="Q7" s="68"/>
    </row>
    <row r="8">
      <c r="A8" s="68"/>
      <c r="B8" s="232"/>
      <c r="C8" s="233"/>
      <c r="D8" s="133"/>
      <c r="E8" s="170" t="s">
        <v>383</v>
      </c>
      <c r="F8" s="234">
        <f t="shared" ref="F8:G8" si="3">F7*F6</f>
        <v>15</v>
      </c>
      <c r="G8" s="234">
        <f t="shared" si="3"/>
        <v>12</v>
      </c>
      <c r="H8" s="234"/>
      <c r="I8" s="234"/>
      <c r="J8" s="234"/>
      <c r="K8" s="235"/>
      <c r="L8" s="236">
        <f>SUM(F8:J8)</f>
        <v>27</v>
      </c>
      <c r="M8" s="133"/>
      <c r="N8" s="96"/>
      <c r="O8" s="68"/>
      <c r="P8" s="68"/>
      <c r="Q8" s="68"/>
    </row>
    <row r="9">
      <c r="A9" s="68"/>
      <c r="B9" s="237" t="s">
        <v>292</v>
      </c>
      <c r="C9" s="238"/>
      <c r="D9" s="133"/>
      <c r="E9" s="166" t="s">
        <v>384</v>
      </c>
      <c r="F9" s="235"/>
      <c r="G9" s="235"/>
      <c r="H9" s="235"/>
      <c r="I9" s="235"/>
      <c r="J9" s="235"/>
      <c r="K9" s="239">
        <f>SUM(K10:K16)</f>
        <v>21600</v>
      </c>
      <c r="L9" s="240"/>
      <c r="M9" s="241">
        <f>SUM(M10:M16)</f>
        <v>583200</v>
      </c>
      <c r="N9" s="242" t="s">
        <v>20</v>
      </c>
      <c r="P9" s="68"/>
    </row>
    <row r="10" outlineLevel="1">
      <c r="A10" s="68"/>
      <c r="B10" s="243" t="s">
        <v>385</v>
      </c>
      <c r="C10" s="243" t="s">
        <v>386</v>
      </c>
      <c r="D10" s="133"/>
      <c r="E10" s="244" t="s">
        <v>387</v>
      </c>
      <c r="F10" s="245" t="s">
        <v>388</v>
      </c>
      <c r="G10" s="245" t="s">
        <v>388</v>
      </c>
      <c r="H10" s="245"/>
      <c r="I10" s="245"/>
      <c r="J10" s="245"/>
      <c r="K10" s="246">
        <v>2250.0</v>
      </c>
      <c r="L10" s="246">
        <f>$K$10*$L$7</f>
        <v>6750</v>
      </c>
      <c r="M10" s="247">
        <f t="shared" ref="M10:M16" si="4">L10*$L$6</f>
        <v>60750</v>
      </c>
      <c r="N10" s="96"/>
    </row>
    <row r="11" outlineLevel="1">
      <c r="A11" s="68"/>
      <c r="B11" s="248" t="s">
        <v>420</v>
      </c>
      <c r="C11" s="249">
        <v>3.0</v>
      </c>
      <c r="D11" s="133"/>
      <c r="E11" s="244" t="s">
        <v>390</v>
      </c>
      <c r="F11" s="245" t="s">
        <v>388</v>
      </c>
      <c r="G11" s="245" t="s">
        <v>388</v>
      </c>
      <c r="H11" s="245"/>
      <c r="I11" s="245"/>
      <c r="J11" s="245"/>
      <c r="K11" s="246">
        <v>10500.0</v>
      </c>
      <c r="L11" s="246">
        <f>$K$11*$L$7</f>
        <v>31500</v>
      </c>
      <c r="M11" s="247">
        <f t="shared" si="4"/>
        <v>283500</v>
      </c>
      <c r="N11" s="96"/>
    </row>
    <row r="12" outlineLevel="1">
      <c r="A12" s="68"/>
      <c r="B12" s="117" t="s">
        <v>391</v>
      </c>
      <c r="C12" s="250">
        <v>4.0</v>
      </c>
      <c r="D12" s="133"/>
      <c r="E12" s="244" t="s">
        <v>392</v>
      </c>
      <c r="F12" s="245" t="s">
        <v>388</v>
      </c>
      <c r="G12" s="245" t="s">
        <v>388</v>
      </c>
      <c r="H12" s="245"/>
      <c r="I12" s="245"/>
      <c r="J12" s="245"/>
      <c r="K12" s="246">
        <v>2250.0</v>
      </c>
      <c r="L12" s="246">
        <f>$K$12*$L$7</f>
        <v>6750</v>
      </c>
      <c r="M12" s="247">
        <f t="shared" si="4"/>
        <v>60750</v>
      </c>
      <c r="N12" s="96"/>
    </row>
    <row r="13" outlineLevel="1">
      <c r="A13" s="68"/>
      <c r="B13" s="243"/>
      <c r="C13" s="251"/>
      <c r="D13" s="133"/>
      <c r="E13" s="244" t="s">
        <v>393</v>
      </c>
      <c r="F13" s="245" t="s">
        <v>388</v>
      </c>
      <c r="G13" s="245" t="s">
        <v>388</v>
      </c>
      <c r="H13" s="245"/>
      <c r="I13" s="245"/>
      <c r="J13" s="245"/>
      <c r="K13" s="246">
        <v>1350.0</v>
      </c>
      <c r="L13" s="246">
        <f>$K$13*$L$7</f>
        <v>4050</v>
      </c>
      <c r="M13" s="247">
        <f t="shared" si="4"/>
        <v>36450</v>
      </c>
      <c r="N13" s="96"/>
    </row>
    <row r="14" outlineLevel="1">
      <c r="A14" s="68"/>
      <c r="B14" s="103" t="s">
        <v>14</v>
      </c>
      <c r="C14" s="104" t="s">
        <v>13</v>
      </c>
      <c r="D14" s="133"/>
      <c r="E14" s="244" t="s">
        <v>394</v>
      </c>
      <c r="F14" s="245" t="s">
        <v>388</v>
      </c>
      <c r="G14" s="245" t="s">
        <v>388</v>
      </c>
      <c r="H14" s="245"/>
      <c r="I14" s="245"/>
      <c r="J14" s="245"/>
      <c r="K14" s="246">
        <v>1500.0</v>
      </c>
      <c r="L14" s="246">
        <f>$K$14*$L$7</f>
        <v>4500</v>
      </c>
      <c r="M14" s="247">
        <f t="shared" si="4"/>
        <v>40500</v>
      </c>
      <c r="N14" s="96"/>
    </row>
    <row r="15" outlineLevel="1">
      <c r="A15" s="68"/>
      <c r="B15" s="106" t="s">
        <v>16</v>
      </c>
      <c r="C15" s="252" t="s">
        <v>15</v>
      </c>
      <c r="D15" s="133"/>
      <c r="E15" s="244" t="s">
        <v>395</v>
      </c>
      <c r="F15" s="245" t="s">
        <v>388</v>
      </c>
      <c r="G15" s="245" t="s">
        <v>388</v>
      </c>
      <c r="H15" s="245"/>
      <c r="I15" s="245"/>
      <c r="J15" s="245"/>
      <c r="K15" s="246">
        <v>1125.0</v>
      </c>
      <c r="L15" s="246">
        <f>$K$15*$L$7</f>
        <v>3375</v>
      </c>
      <c r="M15" s="247">
        <f t="shared" si="4"/>
        <v>30375</v>
      </c>
      <c r="N15" s="96"/>
    </row>
    <row r="16" outlineLevel="1">
      <c r="A16" s="68"/>
      <c r="B16" s="109" t="s">
        <v>18</v>
      </c>
      <c r="C16" s="253" t="s">
        <v>396</v>
      </c>
      <c r="D16" s="133"/>
      <c r="E16" s="254" t="s">
        <v>397</v>
      </c>
      <c r="F16" s="245" t="s">
        <v>388</v>
      </c>
      <c r="G16" s="245" t="s">
        <v>388</v>
      </c>
      <c r="H16" s="245"/>
      <c r="I16" s="245"/>
      <c r="J16" s="245"/>
      <c r="K16" s="255">
        <v>2625.0</v>
      </c>
      <c r="L16" s="246">
        <f>$K$16*$L$7</f>
        <v>7875</v>
      </c>
      <c r="M16" s="256">
        <f t="shared" si="4"/>
        <v>70875</v>
      </c>
      <c r="N16" s="96"/>
      <c r="O16" s="68"/>
      <c r="P16" s="68"/>
      <c r="Q16" s="68"/>
    </row>
    <row r="17" outlineLevel="1">
      <c r="A17" s="68"/>
      <c r="B17" s="111" t="s">
        <v>20</v>
      </c>
      <c r="C17" s="112" t="s">
        <v>301</v>
      </c>
      <c r="D17" s="133"/>
      <c r="E17" s="257"/>
      <c r="F17" s="258"/>
      <c r="G17" s="258"/>
      <c r="H17" s="258"/>
      <c r="I17" s="258"/>
      <c r="J17" s="258"/>
      <c r="K17" s="259"/>
      <c r="L17" s="259"/>
      <c r="M17" s="133"/>
      <c r="N17" s="96"/>
      <c r="O17" s="68"/>
      <c r="P17" s="68"/>
      <c r="Q17" s="68"/>
    </row>
    <row r="18">
      <c r="A18" s="68"/>
      <c r="D18" s="128"/>
      <c r="E18" s="223" t="s">
        <v>337</v>
      </c>
      <c r="F18" s="260"/>
      <c r="G18" s="260"/>
      <c r="H18" s="260"/>
      <c r="I18" s="260"/>
      <c r="J18" s="260"/>
      <c r="K18" s="223"/>
      <c r="L18" s="223"/>
      <c r="M18" s="223"/>
      <c r="N18" s="68"/>
      <c r="O18" s="68"/>
      <c r="P18" s="68"/>
      <c r="Q18" s="68"/>
    </row>
    <row r="19">
      <c r="A19" s="68"/>
      <c r="B19" s="261"/>
      <c r="C19" s="262"/>
      <c r="D19" s="128"/>
      <c r="E19" s="179" t="s">
        <v>342</v>
      </c>
      <c r="F19" s="263" t="str">
        <f>' BC Pay-ins NA'!C23</f>
        <v>Yes</v>
      </c>
      <c r="G19" s="263" t="str">
        <f>' BC Pay-ins NA'!D23</f>
        <v>No</v>
      </c>
      <c r="H19" s="263"/>
      <c r="I19" s="263"/>
      <c r="J19" s="263"/>
      <c r="L19" s="264"/>
      <c r="M19" s="133"/>
      <c r="N19" s="68"/>
      <c r="O19" s="68"/>
      <c r="P19" s="68"/>
      <c r="Q19" s="68"/>
    </row>
    <row r="20">
      <c r="A20" s="68"/>
      <c r="B20" s="117"/>
      <c r="C20" s="176"/>
      <c r="D20" s="128"/>
      <c r="E20" s="198" t="s">
        <v>398</v>
      </c>
      <c r="F20" s="265" t="str">
        <f t="shared" ref="F20:G20" si="5">if(F19="Yes","No","Yes")</f>
        <v>No</v>
      </c>
      <c r="G20" s="265" t="str">
        <f t="shared" si="5"/>
        <v>Yes</v>
      </c>
      <c r="H20" s="265"/>
      <c r="I20" s="265"/>
      <c r="J20" s="265"/>
      <c r="L20" s="264"/>
      <c r="M20" s="133"/>
      <c r="N20" s="68"/>
      <c r="O20" s="68"/>
      <c r="P20" s="68"/>
      <c r="Q20" s="68"/>
    </row>
    <row r="21">
      <c r="A21" s="68"/>
      <c r="B21" s="117"/>
      <c r="C21" s="176"/>
      <c r="D21" s="128"/>
      <c r="E21" s="198" t="s">
        <v>399</v>
      </c>
      <c r="F21" s="266">
        <f t="shared" ref="F21:G21" si="6">if(F19="yes",1,2)</f>
        <v>1</v>
      </c>
      <c r="G21" s="266">
        <f t="shared" si="6"/>
        <v>2</v>
      </c>
      <c r="H21" s="266"/>
      <c r="I21" s="266"/>
      <c r="J21" s="266"/>
      <c r="L21" s="264">
        <f>SUM(F21:J21)</f>
        <v>3</v>
      </c>
      <c r="M21" s="68"/>
      <c r="N21" s="68"/>
      <c r="O21" s="68"/>
      <c r="P21" s="68"/>
      <c r="Q21" s="68"/>
    </row>
    <row r="22">
      <c r="A22" s="68"/>
      <c r="B22" s="117"/>
      <c r="C22" s="176"/>
      <c r="D22" s="128"/>
      <c r="E22" s="197" t="s">
        <v>400</v>
      </c>
      <c r="F22" s="230">
        <f t="shared" ref="F22:G22" si="7">$C$12</f>
        <v>4</v>
      </c>
      <c r="G22" s="230">
        <f t="shared" si="7"/>
        <v>4</v>
      </c>
      <c r="H22" s="230"/>
      <c r="I22" s="230"/>
      <c r="J22" s="230"/>
      <c r="L22" s="245">
        <v>4.0</v>
      </c>
      <c r="M22" s="68"/>
      <c r="N22" s="68"/>
      <c r="O22" s="68"/>
      <c r="P22" s="68"/>
      <c r="Q22" s="68"/>
    </row>
    <row r="23">
      <c r="A23" s="68"/>
      <c r="B23" s="117"/>
      <c r="C23" s="176"/>
      <c r="D23" s="128"/>
      <c r="E23" s="170" t="s">
        <v>383</v>
      </c>
      <c r="F23" s="234">
        <f t="shared" ref="F23:G23" si="8">F22*F21</f>
        <v>4</v>
      </c>
      <c r="G23" s="234">
        <f t="shared" si="8"/>
        <v>8</v>
      </c>
      <c r="H23" s="234"/>
      <c r="I23" s="234"/>
      <c r="J23" s="234"/>
      <c r="K23" s="235"/>
      <c r="L23" s="267">
        <f>SUM(F23:J23)</f>
        <v>12</v>
      </c>
      <c r="M23" s="176"/>
      <c r="N23" s="68"/>
      <c r="O23" s="68"/>
      <c r="P23" s="68"/>
      <c r="Q23" s="68"/>
    </row>
    <row r="24">
      <c r="A24" s="68"/>
      <c r="B24" s="117"/>
      <c r="C24" s="176"/>
      <c r="D24" s="128"/>
      <c r="E24" s="166" t="s">
        <v>401</v>
      </c>
      <c r="F24" s="235"/>
      <c r="G24" s="235"/>
      <c r="H24" s="235"/>
      <c r="I24" s="235"/>
      <c r="J24" s="235"/>
      <c r="K24" s="268">
        <f>SUM(K25:K31)</f>
        <v>21600</v>
      </c>
      <c r="L24" s="240">
        <f>$K$24*$L$22</f>
        <v>86400</v>
      </c>
      <c r="M24" s="269">
        <f>L24*L22</f>
        <v>345600</v>
      </c>
      <c r="N24" s="242" t="s">
        <v>20</v>
      </c>
      <c r="O24" s="68"/>
      <c r="P24" s="68"/>
      <c r="Q24" s="68"/>
    </row>
    <row r="25" outlineLevel="1">
      <c r="A25" s="68"/>
      <c r="B25" s="117"/>
      <c r="C25" s="176"/>
      <c r="D25" s="128"/>
      <c r="E25" s="245" t="s">
        <v>387</v>
      </c>
      <c r="F25" s="245" t="s">
        <v>388</v>
      </c>
      <c r="G25" s="245" t="s">
        <v>388</v>
      </c>
      <c r="H25" s="245"/>
      <c r="I25" s="245"/>
      <c r="J25" s="245"/>
      <c r="K25" s="270">
        <v>2250.0</v>
      </c>
      <c r="L25" s="270">
        <f>$K$25*$L$22</f>
        <v>9000</v>
      </c>
      <c r="M25" s="176">
        <f>$L$25*$L$21</f>
        <v>27000</v>
      </c>
      <c r="N25" s="68"/>
      <c r="O25" s="68"/>
      <c r="P25" s="68"/>
      <c r="Q25" s="68"/>
    </row>
    <row r="26" outlineLevel="1">
      <c r="A26" s="68"/>
      <c r="B26" s="117"/>
      <c r="C26" s="176"/>
      <c r="D26" s="128"/>
      <c r="E26" s="245" t="s">
        <v>390</v>
      </c>
      <c r="F26" s="245" t="s">
        <v>388</v>
      </c>
      <c r="G26" s="245" t="s">
        <v>388</v>
      </c>
      <c r="H26" s="245"/>
      <c r="I26" s="245"/>
      <c r="J26" s="245"/>
      <c r="K26" s="270">
        <v>10500.0</v>
      </c>
      <c r="L26" s="270">
        <f>$K$26*$L$22</f>
        <v>42000</v>
      </c>
      <c r="M26" s="176">
        <f>$L$26*$L$21</f>
        <v>126000</v>
      </c>
      <c r="N26" s="68"/>
      <c r="O26" s="68"/>
      <c r="P26" s="68"/>
      <c r="Q26" s="68"/>
    </row>
    <row r="27" outlineLevel="1">
      <c r="A27" s="68"/>
      <c r="B27" s="117"/>
      <c r="C27" s="176"/>
      <c r="D27" s="128"/>
      <c r="E27" s="245" t="s">
        <v>392</v>
      </c>
      <c r="F27" s="245" t="s">
        <v>388</v>
      </c>
      <c r="G27" s="245" t="s">
        <v>388</v>
      </c>
      <c r="H27" s="245"/>
      <c r="I27" s="245"/>
      <c r="J27" s="245"/>
      <c r="K27" s="270">
        <v>2250.0</v>
      </c>
      <c r="L27" s="270">
        <f>$K$27*$L$22</f>
        <v>9000</v>
      </c>
      <c r="M27" s="176">
        <f>$L$27*$L$21</f>
        <v>27000</v>
      </c>
      <c r="N27" s="68"/>
      <c r="O27" s="68"/>
      <c r="P27" s="68"/>
      <c r="Q27" s="68"/>
    </row>
    <row r="28" outlineLevel="1">
      <c r="A28" s="68"/>
      <c r="B28" s="117"/>
      <c r="C28" s="176"/>
      <c r="D28" s="71"/>
      <c r="E28" s="245" t="s">
        <v>393</v>
      </c>
      <c r="F28" s="245" t="s">
        <v>388</v>
      </c>
      <c r="G28" s="245" t="s">
        <v>388</v>
      </c>
      <c r="H28" s="245"/>
      <c r="I28" s="245"/>
      <c r="J28" s="245"/>
      <c r="K28" s="270">
        <v>1350.0</v>
      </c>
      <c r="L28" s="270">
        <f>$K$28*$L$22</f>
        <v>5400</v>
      </c>
      <c r="M28" s="176">
        <f>$L$28*$L$21</f>
        <v>16200</v>
      </c>
      <c r="N28" s="68"/>
      <c r="O28" s="68"/>
      <c r="P28" s="68"/>
      <c r="Q28" s="68"/>
    </row>
    <row r="29" outlineLevel="1">
      <c r="A29" s="68"/>
      <c r="B29" s="117"/>
      <c r="C29" s="176"/>
      <c r="D29" s="128"/>
      <c r="E29" s="245" t="s">
        <v>394</v>
      </c>
      <c r="F29" s="245" t="s">
        <v>388</v>
      </c>
      <c r="G29" s="245" t="s">
        <v>388</v>
      </c>
      <c r="H29" s="245"/>
      <c r="I29" s="245"/>
      <c r="J29" s="245"/>
      <c r="K29" s="270">
        <v>1500.0</v>
      </c>
      <c r="L29" s="270">
        <f>$K$29*$L$22</f>
        <v>6000</v>
      </c>
      <c r="M29" s="176">
        <f>$L$29*$L$21</f>
        <v>18000</v>
      </c>
      <c r="N29" s="68"/>
      <c r="O29" s="68"/>
      <c r="P29" s="68"/>
      <c r="Q29" s="68"/>
    </row>
    <row r="30" outlineLevel="1">
      <c r="A30" s="68"/>
      <c r="B30" s="117"/>
      <c r="C30" s="176"/>
      <c r="D30" s="128"/>
      <c r="E30" s="245" t="s">
        <v>395</v>
      </c>
      <c r="F30" s="245" t="s">
        <v>388</v>
      </c>
      <c r="G30" s="245" t="s">
        <v>388</v>
      </c>
      <c r="H30" s="245"/>
      <c r="I30" s="245"/>
      <c r="J30" s="245"/>
      <c r="K30" s="270">
        <v>1125.0</v>
      </c>
      <c r="L30" s="270">
        <f>$K$30*$L$22</f>
        <v>4500</v>
      </c>
      <c r="M30" s="176">
        <f>$L$30*$L$21</f>
        <v>13500</v>
      </c>
      <c r="N30" s="68"/>
      <c r="O30" s="68"/>
      <c r="P30" s="68"/>
      <c r="Q30" s="68"/>
    </row>
    <row r="31" outlineLevel="1">
      <c r="A31" s="68"/>
      <c r="B31" s="117"/>
      <c r="C31" s="176"/>
      <c r="D31" s="128"/>
      <c r="E31" s="271" t="s">
        <v>397</v>
      </c>
      <c r="F31" s="271" t="s">
        <v>388</v>
      </c>
      <c r="G31" s="271" t="s">
        <v>388</v>
      </c>
      <c r="H31" s="271"/>
      <c r="I31" s="271"/>
      <c r="J31" s="271"/>
      <c r="K31" s="272">
        <v>2625.0</v>
      </c>
      <c r="L31" s="270">
        <f>$K$31*$L$22</f>
        <v>10500</v>
      </c>
      <c r="M31" s="176">
        <f>$L$31*$L$21</f>
        <v>31500</v>
      </c>
      <c r="N31" s="68"/>
      <c r="O31" s="68"/>
      <c r="P31" s="68"/>
      <c r="Q31" s="68"/>
    </row>
    <row r="32">
      <c r="A32" s="68"/>
      <c r="B32" s="117"/>
      <c r="C32" s="176"/>
      <c r="D32" s="128"/>
      <c r="E32" s="271"/>
      <c r="F32" s="271"/>
      <c r="G32" s="271"/>
      <c r="H32" s="271"/>
      <c r="I32" s="245"/>
      <c r="J32" s="245"/>
      <c r="K32" s="245"/>
      <c r="L32" s="245"/>
      <c r="M32" s="176"/>
      <c r="N32" s="68"/>
      <c r="O32" s="68"/>
      <c r="P32" s="68"/>
      <c r="Q32" s="68"/>
    </row>
    <row r="33">
      <c r="A33" s="68"/>
      <c r="B33" s="117"/>
      <c r="C33" s="176"/>
      <c r="D33" s="128"/>
      <c r="E33" s="273" t="s">
        <v>402</v>
      </c>
      <c r="F33" s="274" t="s">
        <v>353</v>
      </c>
      <c r="G33" s="274" t="s">
        <v>403</v>
      </c>
      <c r="H33" s="275" t="s">
        <v>404</v>
      </c>
      <c r="J33" s="273" t="s">
        <v>405</v>
      </c>
      <c r="K33" s="273"/>
      <c r="N33" s="68"/>
      <c r="O33" s="68"/>
      <c r="P33" s="68"/>
      <c r="Q33" s="68"/>
    </row>
    <row r="34">
      <c r="A34" s="68"/>
      <c r="B34" s="117"/>
      <c r="C34" s="176"/>
      <c r="D34" s="128"/>
      <c r="E34" s="245" t="s">
        <v>387</v>
      </c>
      <c r="F34" s="270">
        <f t="shared" ref="F34:F40" si="9">M10</f>
        <v>60750</v>
      </c>
      <c r="G34" s="270">
        <f t="shared" ref="G34:G40" si="10">M25</f>
        <v>27000</v>
      </c>
      <c r="H34" s="276">
        <f t="shared" ref="H34:H40" si="11">SUM(F34:G34)</f>
        <v>87750</v>
      </c>
      <c r="I34" s="277" t="s">
        <v>20</v>
      </c>
      <c r="J34" s="170" t="s">
        <v>386</v>
      </c>
      <c r="K34" s="278">
        <f>($L$6*$L$7)+($L$21*$L$22)</f>
        <v>39</v>
      </c>
      <c r="L34" s="279"/>
      <c r="N34" s="68"/>
      <c r="O34" s="68"/>
      <c r="P34" s="68"/>
      <c r="Q34" s="68"/>
    </row>
    <row r="35">
      <c r="A35" s="68"/>
      <c r="B35" s="117"/>
      <c r="C35" s="176"/>
      <c r="D35" s="128"/>
      <c r="E35" s="245" t="s">
        <v>390</v>
      </c>
      <c r="F35" s="270">
        <f t="shared" si="9"/>
        <v>283500</v>
      </c>
      <c r="G35" s="270">
        <f t="shared" si="10"/>
        <v>126000</v>
      </c>
      <c r="H35" s="276">
        <f t="shared" si="11"/>
        <v>409500</v>
      </c>
      <c r="I35" s="277" t="s">
        <v>20</v>
      </c>
      <c r="J35" s="170" t="s">
        <v>406</v>
      </c>
      <c r="K35" s="280">
        <f>round(K34/12,0)</f>
        <v>3</v>
      </c>
      <c r="L35" s="279"/>
      <c r="N35" s="68"/>
      <c r="O35" s="68"/>
      <c r="P35" s="68"/>
      <c r="Q35" s="68"/>
    </row>
    <row r="36">
      <c r="A36" s="68"/>
      <c r="B36" s="117"/>
      <c r="C36" s="176"/>
      <c r="D36" s="128"/>
      <c r="E36" s="245" t="s">
        <v>392</v>
      </c>
      <c r="F36" s="270">
        <f t="shared" si="9"/>
        <v>60750</v>
      </c>
      <c r="G36" s="270">
        <f t="shared" si="10"/>
        <v>27000</v>
      </c>
      <c r="H36" s="276">
        <f t="shared" si="11"/>
        <v>87750</v>
      </c>
      <c r="I36" s="277" t="s">
        <v>20</v>
      </c>
      <c r="J36" s="281" t="s">
        <v>407</v>
      </c>
      <c r="K36" s="279"/>
      <c r="L36" s="279"/>
      <c r="N36" s="68"/>
      <c r="O36" s="68"/>
      <c r="P36" s="68"/>
      <c r="Q36" s="68"/>
    </row>
    <row r="37">
      <c r="A37" s="68"/>
      <c r="B37" s="117"/>
      <c r="C37" s="176"/>
      <c r="D37" s="128"/>
      <c r="E37" s="245" t="s">
        <v>393</v>
      </c>
      <c r="F37" s="270">
        <f t="shared" si="9"/>
        <v>36450</v>
      </c>
      <c r="G37" s="270">
        <f t="shared" si="10"/>
        <v>16200</v>
      </c>
      <c r="H37" s="276">
        <f t="shared" si="11"/>
        <v>52650</v>
      </c>
      <c r="I37" s="277" t="s">
        <v>20</v>
      </c>
      <c r="J37" s="170" t="s">
        <v>386</v>
      </c>
      <c r="K37" s="51">
        <v>2.0</v>
      </c>
      <c r="L37" s="279"/>
      <c r="N37" s="68"/>
      <c r="O37" s="68"/>
      <c r="P37" s="68"/>
      <c r="Q37" s="68"/>
    </row>
    <row r="38">
      <c r="A38" s="68"/>
      <c r="B38" s="117"/>
      <c r="C38" s="176"/>
      <c r="D38" s="128"/>
      <c r="E38" s="245" t="s">
        <v>394</v>
      </c>
      <c r="F38" s="270">
        <f t="shared" si="9"/>
        <v>40500</v>
      </c>
      <c r="G38" s="270">
        <f t="shared" si="10"/>
        <v>18000</v>
      </c>
      <c r="H38" s="276">
        <f t="shared" si="11"/>
        <v>58500</v>
      </c>
      <c r="I38" s="277" t="s">
        <v>20</v>
      </c>
      <c r="J38" s="282" t="s">
        <v>408</v>
      </c>
      <c r="K38" s="283">
        <f>K34-K37</f>
        <v>37</v>
      </c>
      <c r="L38" s="279"/>
      <c r="N38" s="68"/>
      <c r="O38" s="68"/>
      <c r="P38" s="68"/>
      <c r="Q38" s="68"/>
    </row>
    <row r="39">
      <c r="A39" s="68"/>
      <c r="B39" s="117"/>
      <c r="C39" s="176"/>
      <c r="D39" s="128"/>
      <c r="E39" s="245" t="s">
        <v>395</v>
      </c>
      <c r="F39" s="270">
        <f t="shared" si="9"/>
        <v>30375</v>
      </c>
      <c r="G39" s="270">
        <f t="shared" si="10"/>
        <v>13500</v>
      </c>
      <c r="H39" s="276">
        <f t="shared" si="11"/>
        <v>43875</v>
      </c>
      <c r="I39" s="277" t="s">
        <v>20</v>
      </c>
      <c r="L39" s="279"/>
      <c r="N39" s="68"/>
      <c r="O39" s="68"/>
      <c r="P39" s="68"/>
      <c r="Q39" s="68"/>
    </row>
    <row r="40">
      <c r="A40" s="68"/>
      <c r="B40" s="117"/>
      <c r="C40" s="176"/>
      <c r="D40" s="128"/>
      <c r="E40" s="271" t="s">
        <v>397</v>
      </c>
      <c r="F40" s="270">
        <f t="shared" si="9"/>
        <v>70875</v>
      </c>
      <c r="G40" s="270">
        <f t="shared" si="10"/>
        <v>31500</v>
      </c>
      <c r="H40" s="276">
        <f t="shared" si="11"/>
        <v>102375</v>
      </c>
      <c r="I40" s="277" t="s">
        <v>20</v>
      </c>
      <c r="J40" s="284" t="s">
        <v>409</v>
      </c>
      <c r="K40" s="285">
        <f>K38</f>
        <v>37</v>
      </c>
      <c r="L40" s="242" t="s">
        <v>20</v>
      </c>
      <c r="N40" s="68"/>
      <c r="O40" s="68"/>
      <c r="P40" s="68"/>
      <c r="Q40" s="68"/>
    </row>
    <row r="41">
      <c r="A41" s="68"/>
      <c r="B41" s="117"/>
      <c r="C41" s="176"/>
      <c r="D41" s="128"/>
      <c r="E41" s="273" t="s">
        <v>402</v>
      </c>
      <c r="F41" s="274">
        <f t="shared" ref="F41:G41" si="12">SUM(F34:F40)</f>
        <v>583200</v>
      </c>
      <c r="G41" s="274">
        <f t="shared" si="12"/>
        <v>259200</v>
      </c>
      <c r="H41" s="286">
        <f>SUM(H34:H40)/1000000</f>
        <v>0.8424</v>
      </c>
      <c r="I41" s="277" t="s">
        <v>20</v>
      </c>
      <c r="J41" s="284" t="s">
        <v>410</v>
      </c>
      <c r="K41" s="278" t="str">
        <f>CONCATENATE(ROUNDUP(K42,2)," ","years")</f>
        <v>3.09 years</v>
      </c>
      <c r="L41" s="242" t="s">
        <v>20</v>
      </c>
      <c r="N41" s="68"/>
      <c r="O41" s="68"/>
      <c r="P41" s="68"/>
      <c r="Q41" s="68"/>
    </row>
    <row r="42">
      <c r="A42" s="68"/>
      <c r="B42" s="117"/>
      <c r="C42" s="176"/>
      <c r="D42" s="128"/>
      <c r="K42" s="287">
        <f>K40/12</f>
        <v>3.083333333</v>
      </c>
      <c r="L42" s="264"/>
      <c r="M42" s="176"/>
      <c r="N42" s="68"/>
      <c r="O42" s="68"/>
      <c r="P42" s="68"/>
      <c r="Q42" s="68"/>
    </row>
    <row r="43">
      <c r="A43" s="68"/>
      <c r="B43" s="117"/>
      <c r="C43" s="176"/>
      <c r="D43" s="128"/>
      <c r="K43" s="264"/>
      <c r="L43" s="264"/>
      <c r="M43" s="176"/>
      <c r="N43" s="68"/>
      <c r="O43" s="68"/>
      <c r="P43" s="68"/>
      <c r="Q43" s="68"/>
    </row>
    <row r="44">
      <c r="A44" s="68"/>
      <c r="B44" s="117"/>
      <c r="C44" s="176"/>
      <c r="D44" s="128"/>
      <c r="K44" s="264"/>
      <c r="L44" s="264"/>
      <c r="M44" s="176"/>
      <c r="N44" s="68"/>
      <c r="O44" s="68"/>
      <c r="P44" s="68"/>
      <c r="Q44" s="68"/>
    </row>
    <row r="45">
      <c r="A45" s="68"/>
      <c r="B45" s="117"/>
      <c r="C45" s="176"/>
      <c r="D45" s="128"/>
      <c r="K45" s="264"/>
      <c r="L45" s="264"/>
      <c r="M45" s="176"/>
      <c r="N45" s="68"/>
      <c r="O45" s="68"/>
      <c r="P45" s="68"/>
      <c r="Q45" s="68"/>
    </row>
    <row r="46">
      <c r="A46" s="68"/>
      <c r="B46" s="117"/>
      <c r="C46" s="176"/>
      <c r="D46" s="128"/>
      <c r="E46" s="68"/>
      <c r="F46" s="175"/>
      <c r="G46" s="175"/>
      <c r="H46" s="175"/>
      <c r="I46" s="175"/>
      <c r="J46" s="175"/>
      <c r="K46" s="264"/>
      <c r="L46" s="264"/>
      <c r="M46" s="176"/>
      <c r="N46" s="68"/>
      <c r="O46" s="68"/>
      <c r="P46" s="68"/>
      <c r="Q46" s="68"/>
    </row>
    <row r="47">
      <c r="A47" s="68"/>
      <c r="B47" s="117"/>
      <c r="C47" s="176"/>
      <c r="D47" s="128"/>
      <c r="E47" s="68"/>
      <c r="F47" s="175"/>
      <c r="G47" s="175"/>
      <c r="H47" s="175"/>
      <c r="I47" s="175"/>
      <c r="J47" s="175"/>
      <c r="K47" s="264"/>
      <c r="L47" s="264"/>
      <c r="M47" s="176"/>
      <c r="N47" s="68"/>
      <c r="O47" s="68"/>
      <c r="P47" s="68"/>
      <c r="Q47" s="68"/>
    </row>
    <row r="48">
      <c r="A48" s="68"/>
      <c r="B48" s="117"/>
      <c r="C48" s="176"/>
      <c r="D48" s="128"/>
      <c r="E48" s="216"/>
      <c r="F48" s="217"/>
      <c r="G48" s="217"/>
      <c r="H48" s="217"/>
      <c r="I48" s="217"/>
      <c r="J48" s="217"/>
      <c r="K48" s="264"/>
      <c r="L48" s="264"/>
      <c r="M48" s="176"/>
      <c r="N48" s="68"/>
      <c r="O48" s="68"/>
      <c r="P48" s="68"/>
      <c r="Q48" s="68"/>
    </row>
    <row r="49">
      <c r="A49" s="68"/>
      <c r="B49" s="117"/>
      <c r="C49" s="176"/>
      <c r="D49" s="128"/>
      <c r="E49" s="216"/>
      <c r="F49" s="217"/>
      <c r="G49" s="217"/>
      <c r="H49" s="217"/>
      <c r="I49" s="217"/>
      <c r="J49" s="217"/>
      <c r="K49" s="264"/>
      <c r="L49" s="264"/>
      <c r="M49" s="176"/>
      <c r="N49" s="68"/>
      <c r="O49" s="68"/>
      <c r="P49" s="68"/>
      <c r="Q49" s="68"/>
    </row>
    <row r="50">
      <c r="A50" s="68"/>
      <c r="B50" s="117"/>
      <c r="C50" s="176"/>
      <c r="D50" s="128"/>
      <c r="E50" s="216"/>
      <c r="F50" s="217"/>
      <c r="G50" s="217"/>
      <c r="H50" s="217"/>
      <c r="I50" s="217"/>
      <c r="J50" s="217"/>
      <c r="K50" s="264"/>
      <c r="L50" s="264"/>
      <c r="M50" s="176"/>
      <c r="N50" s="68"/>
      <c r="O50" s="68"/>
      <c r="P50" s="68"/>
      <c r="Q50" s="68"/>
    </row>
    <row r="51">
      <c r="A51" s="68"/>
      <c r="B51" s="117"/>
      <c r="C51" s="176"/>
      <c r="D51" s="128"/>
      <c r="E51" s="216"/>
      <c r="F51" s="217"/>
      <c r="G51" s="217"/>
      <c r="H51" s="217"/>
      <c r="I51" s="217"/>
      <c r="J51" s="217"/>
      <c r="K51" s="264"/>
      <c r="L51" s="264"/>
      <c r="M51" s="176"/>
      <c r="N51" s="68"/>
      <c r="O51" s="68"/>
      <c r="P51" s="68"/>
      <c r="Q51" s="68"/>
    </row>
    <row r="52">
      <c r="A52" s="68"/>
      <c r="B52" s="117"/>
      <c r="C52" s="176"/>
      <c r="D52" s="128"/>
      <c r="E52" s="216"/>
      <c r="F52" s="217"/>
      <c r="G52" s="217"/>
      <c r="H52" s="217"/>
      <c r="I52" s="217"/>
      <c r="J52" s="217"/>
      <c r="K52" s="264"/>
      <c r="L52" s="264"/>
      <c r="M52" s="176"/>
      <c r="N52" s="68"/>
      <c r="O52" s="68"/>
      <c r="P52" s="68"/>
      <c r="Q52" s="68"/>
    </row>
    <row r="53">
      <c r="A53" s="68"/>
      <c r="B53" s="117"/>
      <c r="C53" s="176"/>
      <c r="D53" s="128"/>
      <c r="E53" s="216"/>
      <c r="F53" s="217"/>
      <c r="G53" s="217"/>
      <c r="H53" s="217"/>
      <c r="I53" s="217"/>
      <c r="J53" s="217"/>
      <c r="K53" s="264"/>
      <c r="L53" s="264"/>
      <c r="M53" s="176"/>
      <c r="N53" s="68"/>
      <c r="O53" s="68"/>
      <c r="P53" s="68"/>
      <c r="Q53" s="68"/>
    </row>
    <row r="54">
      <c r="A54" s="68"/>
      <c r="B54" s="117"/>
      <c r="C54" s="176"/>
      <c r="D54" s="128"/>
      <c r="E54" s="216"/>
      <c r="F54" s="217"/>
      <c r="G54" s="217"/>
      <c r="H54" s="217"/>
      <c r="I54" s="217"/>
      <c r="J54" s="217"/>
      <c r="K54" s="264"/>
      <c r="L54" s="264"/>
      <c r="M54" s="176"/>
      <c r="N54" s="68"/>
      <c r="O54" s="68"/>
      <c r="P54" s="68"/>
      <c r="Q54" s="68"/>
    </row>
    <row r="55">
      <c r="A55" s="68"/>
      <c r="B55" s="117"/>
      <c r="C55" s="176"/>
      <c r="D55" s="128"/>
      <c r="E55" s="216"/>
      <c r="F55" s="217"/>
      <c r="G55" s="217"/>
      <c r="H55" s="217"/>
      <c r="I55" s="217"/>
      <c r="J55" s="217"/>
      <c r="K55" s="264"/>
      <c r="L55" s="264"/>
      <c r="M55" s="176"/>
      <c r="N55" s="68"/>
      <c r="O55" s="68"/>
      <c r="P55" s="68"/>
      <c r="Q55" s="68"/>
    </row>
    <row r="56">
      <c r="A56" s="68"/>
      <c r="B56" s="117"/>
      <c r="C56" s="176"/>
      <c r="D56" s="128"/>
      <c r="E56" s="216"/>
      <c r="F56" s="217"/>
      <c r="G56" s="217"/>
      <c r="H56" s="217"/>
      <c r="I56" s="217"/>
      <c r="J56" s="217"/>
      <c r="K56" s="264"/>
      <c r="L56" s="264"/>
      <c r="M56" s="176"/>
      <c r="N56" s="68"/>
      <c r="O56" s="68"/>
      <c r="P56" s="68"/>
      <c r="Q56" s="68"/>
    </row>
    <row r="57">
      <c r="A57" s="68"/>
      <c r="B57" s="117"/>
      <c r="C57" s="176"/>
      <c r="D57" s="128"/>
      <c r="E57" s="216"/>
      <c r="F57" s="217"/>
      <c r="G57" s="217"/>
      <c r="H57" s="217"/>
      <c r="I57" s="217"/>
      <c r="J57" s="217"/>
      <c r="K57" s="264"/>
      <c r="L57" s="264"/>
      <c r="M57" s="176"/>
      <c r="N57" s="68"/>
      <c r="O57" s="68"/>
      <c r="P57" s="68"/>
      <c r="Q57" s="68"/>
    </row>
    <row r="58">
      <c r="A58" s="68"/>
      <c r="B58" s="117"/>
      <c r="C58" s="176"/>
      <c r="D58" s="128"/>
      <c r="E58" s="216"/>
      <c r="F58" s="217"/>
      <c r="G58" s="217"/>
      <c r="H58" s="217"/>
      <c r="I58" s="217"/>
      <c r="J58" s="217"/>
      <c r="K58" s="264"/>
      <c r="L58" s="264"/>
      <c r="M58" s="176"/>
      <c r="N58" s="68"/>
      <c r="O58" s="68"/>
      <c r="P58" s="68"/>
      <c r="Q58" s="68"/>
    </row>
    <row r="59">
      <c r="A59" s="68"/>
      <c r="B59" s="117"/>
      <c r="C59" s="176"/>
      <c r="D59" s="128"/>
      <c r="E59" s="216"/>
      <c r="F59" s="217"/>
      <c r="G59" s="217"/>
      <c r="H59" s="217"/>
      <c r="I59" s="217"/>
      <c r="J59" s="217"/>
      <c r="K59" s="264"/>
      <c r="L59" s="264"/>
      <c r="M59" s="176"/>
      <c r="N59" s="68"/>
      <c r="O59" s="68"/>
      <c r="P59" s="68"/>
      <c r="Q59" s="68"/>
    </row>
    <row r="60">
      <c r="A60" s="68"/>
      <c r="B60" s="117"/>
      <c r="C60" s="176"/>
      <c r="D60" s="128"/>
      <c r="E60" s="216"/>
      <c r="F60" s="217"/>
      <c r="G60" s="217"/>
      <c r="H60" s="217"/>
      <c r="I60" s="217"/>
      <c r="J60" s="217"/>
      <c r="K60" s="264"/>
      <c r="L60" s="264"/>
      <c r="M60" s="176"/>
      <c r="N60" s="68"/>
      <c r="O60" s="68"/>
      <c r="P60" s="68"/>
      <c r="Q60" s="68"/>
    </row>
    <row r="61">
      <c r="A61" s="68"/>
      <c r="B61" s="117"/>
      <c r="C61" s="176"/>
      <c r="D61" s="128"/>
      <c r="E61" s="216"/>
      <c r="F61" s="217"/>
      <c r="G61" s="217"/>
      <c r="H61" s="217"/>
      <c r="I61" s="217"/>
      <c r="J61" s="217"/>
      <c r="K61" s="264"/>
      <c r="L61" s="264"/>
      <c r="M61" s="176"/>
      <c r="N61" s="68"/>
      <c r="O61" s="68"/>
      <c r="P61" s="68"/>
      <c r="Q61" s="68"/>
    </row>
    <row r="62">
      <c r="A62" s="68"/>
      <c r="B62" s="117"/>
      <c r="C62" s="176"/>
      <c r="D62" s="128"/>
      <c r="E62" s="216"/>
      <c r="F62" s="217"/>
      <c r="G62" s="217"/>
      <c r="H62" s="217"/>
      <c r="I62" s="217"/>
      <c r="J62" s="217"/>
      <c r="K62" s="264"/>
      <c r="L62" s="264"/>
      <c r="M62" s="176"/>
      <c r="N62" s="68"/>
      <c r="O62" s="68"/>
      <c r="P62" s="68"/>
      <c r="Q62" s="68"/>
    </row>
    <row r="63">
      <c r="A63" s="68"/>
      <c r="B63" s="117"/>
      <c r="C63" s="176"/>
      <c r="D63" s="128"/>
      <c r="E63" s="216"/>
      <c r="F63" s="217"/>
      <c r="G63" s="217"/>
      <c r="H63" s="217"/>
      <c r="I63" s="217"/>
      <c r="J63" s="217"/>
      <c r="K63" s="264"/>
      <c r="L63" s="264"/>
      <c r="M63" s="176"/>
      <c r="N63" s="68"/>
      <c r="O63" s="68"/>
      <c r="P63" s="68"/>
      <c r="Q63" s="68"/>
    </row>
    <row r="64">
      <c r="A64" s="68"/>
      <c r="B64" s="117"/>
      <c r="C64" s="176"/>
      <c r="D64" s="128"/>
      <c r="E64" s="216"/>
      <c r="F64" s="217"/>
      <c r="G64" s="217"/>
      <c r="H64" s="217"/>
      <c r="I64" s="217"/>
      <c r="J64" s="217"/>
      <c r="K64" s="264"/>
      <c r="L64" s="264"/>
      <c r="M64" s="176"/>
      <c r="N64" s="68"/>
      <c r="O64" s="68"/>
      <c r="P64" s="68"/>
      <c r="Q64" s="68"/>
    </row>
    <row r="65">
      <c r="A65" s="68"/>
      <c r="B65" s="117"/>
      <c r="C65" s="176"/>
      <c r="D65" s="128"/>
      <c r="E65" s="216"/>
      <c r="F65" s="217"/>
      <c r="G65" s="217"/>
      <c r="H65" s="217"/>
      <c r="I65" s="217"/>
      <c r="J65" s="217"/>
      <c r="K65" s="264"/>
      <c r="L65" s="264"/>
      <c r="M65" s="176"/>
      <c r="N65" s="68"/>
      <c r="O65" s="68"/>
      <c r="P65" s="68"/>
      <c r="Q65" s="68"/>
    </row>
    <row r="66">
      <c r="A66" s="68"/>
      <c r="B66" s="117"/>
      <c r="C66" s="176"/>
      <c r="D66" s="128"/>
      <c r="E66" s="216"/>
      <c r="F66" s="217"/>
      <c r="G66" s="217"/>
      <c r="H66" s="217"/>
      <c r="I66" s="217"/>
      <c r="J66" s="217"/>
      <c r="K66" s="264"/>
      <c r="L66" s="264"/>
      <c r="M66" s="176"/>
      <c r="N66" s="68"/>
      <c r="O66" s="68"/>
      <c r="P66" s="68"/>
      <c r="Q66" s="68"/>
    </row>
    <row r="67">
      <c r="A67" s="68"/>
      <c r="B67" s="117"/>
      <c r="C67" s="176"/>
      <c r="D67" s="128"/>
      <c r="E67" s="216"/>
      <c r="F67" s="217"/>
      <c r="G67" s="217"/>
      <c r="H67" s="217"/>
      <c r="I67" s="217"/>
      <c r="J67" s="217"/>
      <c r="K67" s="264"/>
      <c r="L67" s="264"/>
      <c r="M67" s="176"/>
      <c r="N67" s="68"/>
      <c r="O67" s="68"/>
      <c r="P67" s="68"/>
      <c r="Q67" s="68"/>
    </row>
    <row r="68">
      <c r="A68" s="68"/>
      <c r="B68" s="117"/>
      <c r="C68" s="176"/>
      <c r="D68" s="128"/>
      <c r="E68" s="216"/>
      <c r="F68" s="217"/>
      <c r="G68" s="217"/>
      <c r="H68" s="217"/>
      <c r="I68" s="217"/>
      <c r="J68" s="217"/>
      <c r="K68" s="264"/>
      <c r="L68" s="264"/>
      <c r="M68" s="176"/>
      <c r="N68" s="68"/>
      <c r="O68" s="68"/>
      <c r="P68" s="68"/>
      <c r="Q68" s="68"/>
    </row>
    <row r="69">
      <c r="A69" s="68"/>
      <c r="B69" s="117"/>
      <c r="C69" s="176"/>
      <c r="D69" s="128"/>
      <c r="E69" s="216"/>
      <c r="F69" s="217"/>
      <c r="G69" s="217"/>
      <c r="H69" s="217"/>
      <c r="I69" s="217"/>
      <c r="J69" s="217"/>
      <c r="K69" s="264"/>
      <c r="L69" s="264"/>
      <c r="M69" s="176"/>
      <c r="N69" s="68"/>
      <c r="O69" s="68"/>
      <c r="P69" s="68"/>
      <c r="Q69" s="68"/>
    </row>
    <row r="70">
      <c r="A70" s="68"/>
      <c r="B70" s="117"/>
      <c r="C70" s="176"/>
      <c r="D70" s="128"/>
      <c r="E70" s="216"/>
      <c r="F70" s="217"/>
      <c r="G70" s="217"/>
      <c r="H70" s="217"/>
      <c r="I70" s="217"/>
      <c r="J70" s="217"/>
      <c r="K70" s="264"/>
      <c r="L70" s="264"/>
      <c r="M70" s="176"/>
      <c r="N70" s="68"/>
      <c r="O70" s="68"/>
      <c r="P70" s="68"/>
      <c r="Q70" s="68"/>
    </row>
    <row r="71">
      <c r="A71" s="68"/>
      <c r="B71" s="117"/>
      <c r="C71" s="176"/>
      <c r="D71" s="128"/>
      <c r="E71" s="216"/>
      <c r="F71" s="217"/>
      <c r="G71" s="217"/>
      <c r="H71" s="217"/>
      <c r="I71" s="217"/>
      <c r="J71" s="217"/>
      <c r="K71" s="264"/>
      <c r="L71" s="264"/>
      <c r="M71" s="176"/>
      <c r="N71" s="68"/>
      <c r="O71" s="68"/>
      <c r="P71" s="68"/>
      <c r="Q71" s="68"/>
    </row>
    <row r="72">
      <c r="A72" s="68"/>
      <c r="B72" s="117"/>
      <c r="C72" s="176"/>
      <c r="D72" s="128"/>
      <c r="E72" s="216"/>
      <c r="F72" s="217"/>
      <c r="G72" s="217"/>
      <c r="H72" s="217"/>
      <c r="I72" s="217"/>
      <c r="J72" s="217"/>
      <c r="K72" s="264"/>
      <c r="L72" s="264"/>
      <c r="M72" s="176"/>
      <c r="N72" s="68"/>
      <c r="O72" s="68"/>
      <c r="P72" s="68"/>
      <c r="Q72" s="68"/>
    </row>
    <row r="73">
      <c r="A73" s="68"/>
      <c r="B73" s="117"/>
      <c r="C73" s="176"/>
      <c r="D73" s="128"/>
      <c r="E73" s="216"/>
      <c r="F73" s="217"/>
      <c r="G73" s="217"/>
      <c r="H73" s="217"/>
      <c r="I73" s="217"/>
      <c r="J73" s="217"/>
      <c r="K73" s="264"/>
      <c r="L73" s="264"/>
      <c r="M73" s="176"/>
      <c r="N73" s="68"/>
      <c r="O73" s="68"/>
      <c r="P73" s="68"/>
      <c r="Q73" s="68"/>
    </row>
    <row r="74">
      <c r="A74" s="68"/>
      <c r="B74" s="117"/>
      <c r="C74" s="176"/>
      <c r="D74" s="128"/>
      <c r="E74" s="216"/>
      <c r="F74" s="217"/>
      <c r="G74" s="217"/>
      <c r="H74" s="217"/>
      <c r="I74" s="217"/>
      <c r="J74" s="217"/>
      <c r="K74" s="264"/>
      <c r="L74" s="264"/>
      <c r="M74" s="176"/>
      <c r="N74" s="68"/>
      <c r="O74" s="68"/>
      <c r="P74" s="68"/>
      <c r="Q74" s="68"/>
    </row>
    <row r="75">
      <c r="A75" s="68"/>
      <c r="B75" s="117"/>
      <c r="C75" s="176"/>
      <c r="D75" s="128"/>
      <c r="E75" s="216"/>
      <c r="F75" s="217"/>
      <c r="G75" s="217"/>
      <c r="H75" s="217"/>
      <c r="I75" s="217"/>
      <c r="J75" s="217"/>
      <c r="K75" s="264"/>
      <c r="L75" s="264"/>
      <c r="M75" s="176"/>
      <c r="N75" s="68"/>
      <c r="O75" s="68"/>
      <c r="P75" s="68"/>
      <c r="Q75" s="68"/>
    </row>
    <row r="76">
      <c r="A76" s="68"/>
      <c r="B76" s="117"/>
      <c r="C76" s="176"/>
      <c r="D76" s="128"/>
      <c r="E76" s="216"/>
      <c r="F76" s="217"/>
      <c r="G76" s="217"/>
      <c r="H76" s="217"/>
      <c r="I76" s="217"/>
      <c r="J76" s="217"/>
      <c r="K76" s="264"/>
      <c r="L76" s="264"/>
      <c r="M76" s="176"/>
      <c r="N76" s="68"/>
      <c r="O76" s="68"/>
      <c r="P76" s="68"/>
      <c r="Q76" s="68"/>
    </row>
    <row r="77">
      <c r="A77" s="68"/>
      <c r="B77" s="117"/>
      <c r="C77" s="176"/>
      <c r="D77" s="128"/>
      <c r="E77" s="216"/>
      <c r="F77" s="217"/>
      <c r="G77" s="217"/>
      <c r="H77" s="217"/>
      <c r="I77" s="217"/>
      <c r="J77" s="217"/>
      <c r="K77" s="264"/>
      <c r="L77" s="264"/>
      <c r="M77" s="176"/>
      <c r="N77" s="68"/>
      <c r="O77" s="68"/>
      <c r="P77" s="68"/>
      <c r="Q77" s="68"/>
    </row>
    <row r="78">
      <c r="A78" s="68"/>
      <c r="B78" s="117"/>
      <c r="C78" s="176"/>
      <c r="D78" s="128"/>
      <c r="E78" s="216"/>
      <c r="F78" s="217"/>
      <c r="G78" s="217"/>
      <c r="H78" s="217"/>
      <c r="I78" s="217"/>
      <c r="J78" s="217"/>
      <c r="K78" s="264"/>
      <c r="L78" s="264"/>
      <c r="M78" s="176"/>
      <c r="N78" s="68"/>
      <c r="O78" s="68"/>
      <c r="P78" s="68"/>
      <c r="Q78" s="68"/>
    </row>
    <row r="79">
      <c r="A79" s="68"/>
      <c r="B79" s="117"/>
      <c r="C79" s="176"/>
      <c r="D79" s="128"/>
      <c r="E79" s="216"/>
      <c r="F79" s="217"/>
      <c r="G79" s="217"/>
      <c r="H79" s="217"/>
      <c r="I79" s="217"/>
      <c r="J79" s="217"/>
      <c r="K79" s="264"/>
      <c r="L79" s="264"/>
      <c r="M79" s="176"/>
      <c r="N79" s="68"/>
      <c r="O79" s="68"/>
      <c r="P79" s="68"/>
      <c r="Q79" s="68"/>
    </row>
    <row r="80">
      <c r="A80" s="68"/>
      <c r="B80" s="117"/>
      <c r="C80" s="176"/>
      <c r="D80" s="128"/>
      <c r="E80" s="216"/>
      <c r="F80" s="217"/>
      <c r="G80" s="217"/>
      <c r="H80" s="217"/>
      <c r="I80" s="217"/>
      <c r="J80" s="217"/>
      <c r="K80" s="264"/>
      <c r="L80" s="264"/>
      <c r="M80" s="176"/>
      <c r="N80" s="68"/>
      <c r="O80" s="68"/>
      <c r="P80" s="68"/>
      <c r="Q80" s="68"/>
    </row>
    <row r="81">
      <c r="A81" s="68"/>
      <c r="B81" s="117"/>
      <c r="C81" s="176"/>
      <c r="D81" s="128"/>
      <c r="E81" s="216"/>
      <c r="F81" s="217"/>
      <c r="G81" s="217"/>
      <c r="H81" s="217"/>
      <c r="I81" s="217"/>
      <c r="J81" s="217"/>
      <c r="K81" s="264"/>
      <c r="L81" s="264"/>
      <c r="M81" s="176"/>
      <c r="N81" s="68"/>
      <c r="O81" s="68"/>
      <c r="P81" s="68"/>
      <c r="Q81" s="68"/>
    </row>
    <row r="82">
      <c r="A82" s="68"/>
      <c r="B82" s="117"/>
      <c r="C82" s="176"/>
      <c r="D82" s="128"/>
      <c r="E82" s="216"/>
      <c r="F82" s="217"/>
      <c r="G82" s="217"/>
      <c r="H82" s="217"/>
      <c r="I82" s="217"/>
      <c r="J82" s="217"/>
      <c r="K82" s="264"/>
      <c r="L82" s="264"/>
      <c r="M82" s="176"/>
      <c r="N82" s="68"/>
      <c r="O82" s="68"/>
      <c r="P82" s="68"/>
      <c r="Q82" s="68"/>
    </row>
    <row r="83">
      <c r="A83" s="68"/>
      <c r="B83" s="117"/>
      <c r="C83" s="176"/>
      <c r="D83" s="128"/>
      <c r="E83" s="216"/>
      <c r="F83" s="217"/>
      <c r="G83" s="217"/>
      <c r="H83" s="217"/>
      <c r="I83" s="217"/>
      <c r="J83" s="217"/>
      <c r="K83" s="264"/>
      <c r="L83" s="264"/>
      <c r="M83" s="176"/>
      <c r="N83" s="68"/>
      <c r="O83" s="68"/>
      <c r="P83" s="68"/>
      <c r="Q83" s="68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8"/>
      <c r="B1" s="129"/>
      <c r="C1" s="130"/>
      <c r="D1" s="130"/>
      <c r="E1" s="130"/>
      <c r="F1" s="130"/>
      <c r="G1" s="130"/>
      <c r="H1" s="68"/>
      <c r="I1" s="131"/>
      <c r="J1" s="131"/>
      <c r="K1" s="132"/>
      <c r="L1" s="131"/>
      <c r="M1" s="132"/>
      <c r="N1" s="68"/>
      <c r="O1" s="68"/>
    </row>
    <row r="2">
      <c r="A2" s="133"/>
      <c r="B2" s="134"/>
      <c r="C2" s="135" t="s">
        <v>310</v>
      </c>
      <c r="H2" s="68"/>
      <c r="I2" s="131"/>
      <c r="J2" s="131"/>
      <c r="K2" s="132"/>
      <c r="L2" s="131"/>
      <c r="M2" s="132"/>
      <c r="N2" s="68"/>
      <c r="O2" s="68"/>
    </row>
    <row r="3">
      <c r="A3" s="133"/>
      <c r="B3" s="136" t="s">
        <v>311</v>
      </c>
      <c r="C3" s="137" t="s">
        <v>421</v>
      </c>
      <c r="D3" s="137" t="s">
        <v>422</v>
      </c>
      <c r="E3" s="137" t="s">
        <v>423</v>
      </c>
      <c r="F3" s="137" t="s">
        <v>424</v>
      </c>
      <c r="G3" s="137" t="s">
        <v>425</v>
      </c>
      <c r="H3" s="138" t="s">
        <v>317</v>
      </c>
      <c r="I3" s="131"/>
      <c r="J3" s="138" t="s">
        <v>318</v>
      </c>
      <c r="K3" s="138" t="s">
        <v>318</v>
      </c>
      <c r="L3" s="131"/>
      <c r="M3" s="139" t="s">
        <v>319</v>
      </c>
      <c r="N3" s="68"/>
      <c r="O3" s="68"/>
    </row>
    <row r="4">
      <c r="A4" s="133"/>
      <c r="B4" s="117" t="s">
        <v>320</v>
      </c>
      <c r="C4" s="140">
        <v>0.0287</v>
      </c>
      <c r="D4" s="140">
        <v>0.0273</v>
      </c>
      <c r="E4" s="140">
        <v>0.0198</v>
      </c>
      <c r="F4" s="140">
        <v>0.0172</v>
      </c>
      <c r="G4" s="140">
        <v>0.0103</v>
      </c>
      <c r="H4" s="288">
        <f>SUM(C4:G4)</f>
        <v>0.1033</v>
      </c>
      <c r="I4" s="131"/>
      <c r="J4" s="131"/>
      <c r="K4" s="142"/>
      <c r="L4" s="131"/>
      <c r="M4" s="142" t="s">
        <v>321</v>
      </c>
      <c r="N4" s="68"/>
      <c r="O4" s="68"/>
    </row>
    <row r="5">
      <c r="A5" s="133"/>
      <c r="B5" s="143" t="s">
        <v>322</v>
      </c>
      <c r="C5" s="144">
        <f>C4*RESUMEN!$C$13</f>
        <v>317135000</v>
      </c>
      <c r="D5" s="144">
        <f>D4*RESUMEN!$C$13</f>
        <v>301665000</v>
      </c>
      <c r="E5" s="144">
        <f>E4*RESUMEN!$C$13</f>
        <v>218790000</v>
      </c>
      <c r="F5" s="144">
        <f>F4*RESUMEN!$C$13</f>
        <v>190060000</v>
      </c>
      <c r="G5" s="144">
        <f>G4*RESUMEN!$C$13</f>
        <v>113815000</v>
      </c>
      <c r="H5" s="96"/>
      <c r="I5" s="145"/>
      <c r="J5" s="145"/>
      <c r="K5" s="146"/>
      <c r="L5" s="145"/>
      <c r="M5" s="146"/>
      <c r="N5" s="68"/>
      <c r="O5" s="68"/>
    </row>
    <row r="6">
      <c r="A6" s="133"/>
      <c r="B6" s="134" t="s">
        <v>323</v>
      </c>
      <c r="C6" s="147">
        <v>0.06</v>
      </c>
      <c r="D6" s="147">
        <v>0.06</v>
      </c>
      <c r="E6" s="147">
        <v>0.06</v>
      </c>
      <c r="F6" s="147">
        <v>0.06</v>
      </c>
      <c r="G6" s="147">
        <v>0.06</v>
      </c>
      <c r="H6" s="96"/>
      <c r="I6" s="145"/>
      <c r="J6" s="145"/>
      <c r="K6" s="146"/>
      <c r="L6" s="145"/>
      <c r="M6" s="146"/>
      <c r="N6" s="68"/>
      <c r="O6" s="68"/>
    </row>
    <row r="7" outlineLevel="1">
      <c r="A7" s="133"/>
      <c r="B7" s="148" t="s">
        <v>324</v>
      </c>
      <c r="C7" s="149">
        <f>VLOOKUP(RESUMEN!$C$4,'Aceptance Rate Delta per Indust'!$B$3:$K$40,9,false)</f>
        <v>0.18</v>
      </c>
      <c r="D7" s="149">
        <f>VLOOKUP(RESUMEN!$C$4,'Aceptance Rate Delta per Indust'!$B$3:$K$40,9,false)</f>
        <v>0.18</v>
      </c>
      <c r="E7" s="149">
        <f>VLOOKUP(RESUMEN!$C$4,'Aceptance Rate Delta per Indust'!$B$3:$K$40,9,false)</f>
        <v>0.18</v>
      </c>
      <c r="F7" s="149">
        <f>VLOOKUP(RESUMEN!$C$4,'Aceptance Rate Delta per Indust'!$B$3:$K$40,9,false)</f>
        <v>0.18</v>
      </c>
      <c r="G7" s="149">
        <f>VLOOKUP(RESUMEN!$C$4,'Aceptance Rate Delta per Indust'!$B$3:$K$40,9,false)</f>
        <v>0.18</v>
      </c>
      <c r="H7" s="96"/>
      <c r="I7" s="145"/>
      <c r="J7" s="145"/>
      <c r="K7" s="146"/>
      <c r="L7" s="145"/>
      <c r="M7" s="146"/>
      <c r="N7" s="68"/>
      <c r="O7" s="68"/>
    </row>
    <row r="8" outlineLevel="1">
      <c r="A8" s="133"/>
      <c r="B8" s="150" t="s">
        <v>325</v>
      </c>
      <c r="C8" s="151">
        <f>VLOOKUP(RESUMEN!$C$4,'Aceptance Rate Delta per Indust'!$B$3:$K$40,10,false)</f>
        <v>0.8</v>
      </c>
      <c r="D8" s="151">
        <f>VLOOKUP(RESUMEN!$C$4,'Aceptance Rate Delta per Indust'!$B$3:$K$40,10,false)</f>
        <v>0.8</v>
      </c>
      <c r="E8" s="151">
        <f>VLOOKUP(RESUMEN!$C$4,'Aceptance Rate Delta per Indust'!$B$3:$K$40,10,false)</f>
        <v>0.8</v>
      </c>
      <c r="F8" s="151">
        <f>VLOOKUP(RESUMEN!$C$4,'Aceptance Rate Delta per Indust'!$B$3:$K$40,10,false)</f>
        <v>0.8</v>
      </c>
      <c r="G8" s="151">
        <f>VLOOKUP(RESUMEN!$C$4,'Aceptance Rate Delta per Indust'!$B$3:$K$40,10,false)</f>
        <v>0.8</v>
      </c>
      <c r="H8" s="96"/>
      <c r="I8" s="145"/>
      <c r="J8" s="145"/>
      <c r="K8" s="146"/>
      <c r="L8" s="145"/>
      <c r="M8" s="146"/>
      <c r="N8" s="68"/>
      <c r="O8" s="68"/>
    </row>
    <row r="9">
      <c r="A9" s="133"/>
      <c r="B9" s="117" t="s">
        <v>326</v>
      </c>
      <c r="C9" s="144">
        <f t="shared" ref="C9:G9" si="1">(ROUND(C5*C6,0))</f>
        <v>19028100</v>
      </c>
      <c r="D9" s="144">
        <f t="shared" si="1"/>
        <v>18099900</v>
      </c>
      <c r="E9" s="144">
        <f t="shared" si="1"/>
        <v>13127400</v>
      </c>
      <c r="F9" s="144">
        <f t="shared" si="1"/>
        <v>11403600</v>
      </c>
      <c r="G9" s="144">
        <f t="shared" si="1"/>
        <v>6828900</v>
      </c>
      <c r="H9" s="96"/>
      <c r="I9" s="145"/>
      <c r="J9" s="145"/>
      <c r="K9" s="146"/>
      <c r="L9" s="145"/>
      <c r="M9" s="146"/>
      <c r="N9" s="68"/>
      <c r="O9" s="68"/>
    </row>
    <row r="10" outlineLevel="1">
      <c r="A10" s="133"/>
      <c r="B10" s="134" t="s">
        <v>327</v>
      </c>
      <c r="C10" s="152">
        <v>15.0</v>
      </c>
      <c r="D10" s="152">
        <v>15.0</v>
      </c>
      <c r="E10" s="152">
        <v>16.65</v>
      </c>
      <c r="F10" s="152">
        <v>15.0</v>
      </c>
      <c r="G10" s="152">
        <v>15.0</v>
      </c>
      <c r="H10" s="96"/>
      <c r="I10" s="153"/>
      <c r="J10" s="153"/>
      <c r="K10" s="153"/>
      <c r="L10" s="153"/>
      <c r="M10" s="153" t="s">
        <v>328</v>
      </c>
      <c r="N10" s="68"/>
      <c r="O10" s="68"/>
    </row>
    <row r="11" outlineLevel="1">
      <c r="A11" s="133"/>
      <c r="B11" s="154" t="s">
        <v>329</v>
      </c>
      <c r="C11" s="155">
        <f>(RESUMEN!$C$13*C4*C6*C10)/1000000</f>
        <v>285.4215</v>
      </c>
      <c r="D11" s="155">
        <f>(RESUMEN!$C$13*D4*D6*D10)/1000000</f>
        <v>271.4985</v>
      </c>
      <c r="E11" s="155">
        <f>(RESUMEN!$C$13*E4*E6*E10)/1000000</f>
        <v>218.57121</v>
      </c>
      <c r="F11" s="155">
        <f>(RESUMEN!$C$13*F4*F6*F10)/1000000</f>
        <v>171.054</v>
      </c>
      <c r="G11" s="155">
        <f>(RESUMEN!$C$13*G4*G6*G10)/1000000</f>
        <v>102.4335</v>
      </c>
      <c r="H11" s="289">
        <f>SUM(C11:G11)</f>
        <v>1048.97871</v>
      </c>
      <c r="I11" s="145"/>
      <c r="J11" s="145"/>
      <c r="K11" s="146"/>
      <c r="L11" s="145"/>
      <c r="M11" s="146"/>
      <c r="N11" s="68"/>
      <c r="O11" s="68"/>
    </row>
    <row r="12">
      <c r="A12" s="133"/>
      <c r="B12" s="148" t="s">
        <v>330</v>
      </c>
      <c r="C12" s="157">
        <v>0.88</v>
      </c>
      <c r="D12" s="157">
        <v>0.93</v>
      </c>
      <c r="E12" s="157">
        <v>0.9</v>
      </c>
      <c r="F12" s="157">
        <v>0.94</v>
      </c>
      <c r="G12" s="157">
        <v>0.8</v>
      </c>
      <c r="H12" s="96"/>
      <c r="K12" s="153"/>
      <c r="M12" s="153" t="s">
        <v>331</v>
      </c>
      <c r="N12" s="68"/>
      <c r="O12" s="68"/>
    </row>
    <row r="13">
      <c r="A13" s="133"/>
      <c r="B13" s="154" t="s">
        <v>332</v>
      </c>
      <c r="C13" s="158">
        <f t="shared" ref="C13:F13" si="2">(C12*C11)</f>
        <v>251.17092</v>
      </c>
      <c r="D13" s="158">
        <f t="shared" si="2"/>
        <v>252.493605</v>
      </c>
      <c r="E13" s="158">
        <f t="shared" si="2"/>
        <v>196.714089</v>
      </c>
      <c r="F13" s="158">
        <f t="shared" si="2"/>
        <v>160.79076</v>
      </c>
      <c r="G13" s="158">
        <f>G12*G11</f>
        <v>81.9468</v>
      </c>
      <c r="H13" s="159">
        <f>SUM(C13:G13)</f>
        <v>943.116174</v>
      </c>
      <c r="K13" s="153"/>
      <c r="M13" s="153" t="s">
        <v>333</v>
      </c>
      <c r="N13" s="96"/>
      <c r="O13" s="96"/>
    </row>
    <row r="14">
      <c r="A14" s="133"/>
      <c r="B14" s="134" t="s">
        <v>334</v>
      </c>
      <c r="C14" s="160">
        <f t="shared" ref="C14:G14" si="3">1-C12</f>
        <v>0.12</v>
      </c>
      <c r="D14" s="160">
        <f t="shared" si="3"/>
        <v>0.07</v>
      </c>
      <c r="E14" s="160">
        <f t="shared" si="3"/>
        <v>0.1</v>
      </c>
      <c r="F14" s="160">
        <f t="shared" si="3"/>
        <v>0.06</v>
      </c>
      <c r="G14" s="160">
        <f t="shared" si="3"/>
        <v>0.2</v>
      </c>
      <c r="H14" s="96"/>
      <c r="K14" s="153"/>
      <c r="M14" s="153" t="s">
        <v>335</v>
      </c>
      <c r="N14" s="96"/>
      <c r="O14" s="96"/>
    </row>
    <row r="15">
      <c r="A15" s="133"/>
      <c r="B15" s="161" t="s">
        <v>336</v>
      </c>
      <c r="C15" s="162">
        <f t="shared" ref="C15:G15" si="4">C14*C11</f>
        <v>34.25058</v>
      </c>
      <c r="D15" s="162">
        <f t="shared" si="4"/>
        <v>19.004895</v>
      </c>
      <c r="E15" s="162">
        <f t="shared" si="4"/>
        <v>21.857121</v>
      </c>
      <c r="F15" s="162">
        <f t="shared" si="4"/>
        <v>10.26324</v>
      </c>
      <c r="G15" s="162">
        <f t="shared" si="4"/>
        <v>20.4867</v>
      </c>
      <c r="H15" s="96"/>
      <c r="K15" s="145"/>
      <c r="M15" s="145"/>
      <c r="N15" s="96"/>
      <c r="O15" s="96"/>
    </row>
    <row r="16">
      <c r="A16" s="133"/>
      <c r="K16" s="163"/>
      <c r="M16" s="163"/>
    </row>
    <row r="17">
      <c r="A17" s="133"/>
      <c r="B17" s="164" t="s">
        <v>337</v>
      </c>
      <c r="C17" s="165"/>
      <c r="D17" s="165"/>
      <c r="E17" s="165"/>
      <c r="F17" s="165"/>
      <c r="G17" s="165"/>
      <c r="H17" s="96"/>
      <c r="K17" s="131"/>
      <c r="M17" s="131"/>
      <c r="N17" s="96"/>
      <c r="O17" s="96"/>
    </row>
    <row r="18">
      <c r="A18" s="133"/>
      <c r="B18" s="166" t="s">
        <v>338</v>
      </c>
      <c r="C18" s="167">
        <f>AVERAGE(VLOOKUP(RESUMEN!$C$4, 'Aceptance Rate Delta per Indust'!$B$3:$E$40, 3, FALSE), VLOOKUP(RESUMEN!$C$4, 'Aceptance Rate Delta per Indust'!$B$3:$E$40, 4, FALSE))</f>
        <v>0.02</v>
      </c>
      <c r="D18" s="167">
        <f>AVERAGE(VLOOKUP(RESUMEN!$C$4, 'Aceptance Rate Delta per Indust'!$B$3:$E$40, 3, FALSE), VLOOKUP(RESUMEN!$C$4, 'Aceptance Rate Delta per Indust'!$B$3:$E$40, 4, FALSE))</f>
        <v>0.02</v>
      </c>
      <c r="E18" s="167">
        <v>0.015</v>
      </c>
      <c r="F18" s="167">
        <f>AVERAGE(VLOOKUP(RESUMEN!$C$4, 'Aceptance Rate Delta per Indust'!$B$3:$E$40, 3, FALSE), VLOOKUP(RESUMEN!$C$4, 'Aceptance Rate Delta per Indust'!$B$3:$E$40, 4, FALSE))</f>
        <v>0.02</v>
      </c>
      <c r="G18" s="167">
        <f>AVERAGE(VLOOKUP(RESUMEN!$C$4, 'Aceptance Rate Delta per Indust'!$B$3:$E$40, 3, FALSE), VLOOKUP(RESUMEN!$C$4, 'Aceptance Rate Delta per Indust'!$B$3:$E$40, 4, FALSE))</f>
        <v>0.02</v>
      </c>
      <c r="H18" s="168" t="s">
        <v>20</v>
      </c>
      <c r="K18" s="169"/>
      <c r="M18" s="169"/>
      <c r="N18" s="96"/>
      <c r="O18" s="96"/>
    </row>
    <row r="19">
      <c r="A19" s="133"/>
      <c r="B19" s="170" t="s">
        <v>339</v>
      </c>
      <c r="C19" s="171">
        <f t="shared" ref="C19:G19" si="5">C13*C18</f>
        <v>5.0234184</v>
      </c>
      <c r="D19" s="171">
        <f t="shared" si="5"/>
        <v>5.0498721</v>
      </c>
      <c r="E19" s="171">
        <f t="shared" si="5"/>
        <v>2.950711335</v>
      </c>
      <c r="F19" s="171">
        <f t="shared" si="5"/>
        <v>3.2158152</v>
      </c>
      <c r="G19" s="171">
        <f t="shared" si="5"/>
        <v>1.638936</v>
      </c>
      <c r="H19" s="172">
        <f t="shared" ref="H19:H20" si="6">SUM(C19:G19)</f>
        <v>17.87875304</v>
      </c>
      <c r="J19" s="172">
        <f t="shared" ref="J19:J20" si="7">rounddown(H19-1,0)</f>
        <v>16</v>
      </c>
      <c r="K19" s="172">
        <f t="shared" ref="K19:K20" si="8">ROUNDUP(H19-1,0)+1</f>
        <v>18</v>
      </c>
      <c r="M19" s="153" t="s">
        <v>333</v>
      </c>
      <c r="N19" s="96"/>
      <c r="O19" s="96"/>
    </row>
    <row r="20">
      <c r="A20" s="133"/>
      <c r="B20" s="173" t="s">
        <v>340</v>
      </c>
      <c r="C20" s="174">
        <f>C19*RESUMEN!$C$15</f>
        <v>3.01405104</v>
      </c>
      <c r="D20" s="174">
        <f>D19*RESUMEN!$C$15</f>
        <v>3.02992326</v>
      </c>
      <c r="E20" s="174">
        <f>E19*RESUMEN!$C$15</f>
        <v>1.770426801</v>
      </c>
      <c r="F20" s="174">
        <f>F19*RESUMEN!$C$15</f>
        <v>1.92948912</v>
      </c>
      <c r="G20" s="174">
        <f>G19*RESUMEN!$C$15</f>
        <v>0.9833616</v>
      </c>
      <c r="H20" s="172">
        <f t="shared" si="6"/>
        <v>10.72725182</v>
      </c>
      <c r="J20" s="172">
        <f t="shared" si="7"/>
        <v>9</v>
      </c>
      <c r="K20" s="172">
        <f t="shared" si="8"/>
        <v>11</v>
      </c>
      <c r="M20" s="153" t="s">
        <v>333</v>
      </c>
      <c r="N20" s="96"/>
      <c r="O20" s="96"/>
    </row>
    <row r="21">
      <c r="A21" s="133"/>
      <c r="B21" s="68"/>
      <c r="C21" s="175"/>
      <c r="D21" s="175"/>
      <c r="E21" s="175"/>
      <c r="F21" s="175"/>
      <c r="G21" s="175"/>
      <c r="H21" s="176"/>
      <c r="K21" s="131"/>
      <c r="M21" s="131"/>
      <c r="N21" s="96"/>
      <c r="O21" s="96"/>
    </row>
    <row r="22">
      <c r="A22" s="133"/>
      <c r="B22" s="177" t="s">
        <v>341</v>
      </c>
      <c r="C22" s="178">
        <f t="shared" ref="C22:G22" si="9">C$11*C12+C19</f>
        <v>256.1943384</v>
      </c>
      <c r="D22" s="178">
        <f t="shared" si="9"/>
        <v>257.5434771</v>
      </c>
      <c r="E22" s="178">
        <f t="shared" si="9"/>
        <v>199.6648003</v>
      </c>
      <c r="F22" s="178">
        <f t="shared" si="9"/>
        <v>164.0065752</v>
      </c>
      <c r="G22" s="178">
        <f t="shared" si="9"/>
        <v>83.585736</v>
      </c>
      <c r="H22" s="68"/>
      <c r="K22" s="131"/>
      <c r="M22" s="131"/>
      <c r="N22" s="96"/>
      <c r="O22" s="96"/>
    </row>
    <row r="23">
      <c r="A23" s="133"/>
      <c r="B23" s="179" t="s">
        <v>342</v>
      </c>
      <c r="C23" s="180" t="s">
        <v>414</v>
      </c>
      <c r="D23" s="180" t="s">
        <v>414</v>
      </c>
      <c r="E23" s="180" t="s">
        <v>413</v>
      </c>
      <c r="F23" s="180" t="s">
        <v>414</v>
      </c>
      <c r="G23" s="180" t="s">
        <v>414</v>
      </c>
      <c r="H23" s="68"/>
      <c r="K23" s="153"/>
      <c r="M23" s="153" t="s">
        <v>344</v>
      </c>
      <c r="N23" s="68"/>
      <c r="O23" s="68"/>
    </row>
    <row r="24">
      <c r="A24" s="133"/>
      <c r="B24" s="182" t="s">
        <v>345</v>
      </c>
      <c r="C24" s="149">
        <f>if(C23="Yes",VLOOKUP(RESUMEN!$C$4,'Aceptance Rate Delta per Indust'!$B$3:$G$40,5,FALSE),VLOOKUP(RESUMEN!$C$4,'Aceptance Rate Delta per Indust'!$B$3:$G$40,6,FALSE))</f>
        <v>0.04</v>
      </c>
      <c r="D24" s="149">
        <f>if(D23="Yes",VLOOKUP(RESUMEN!$C$4,'Aceptance Rate Delta per Indust'!$B$3:$G$40,5,FALSE),VLOOKUP(RESUMEN!$C$4,'Aceptance Rate Delta per Indust'!$B$3:$G$40,6,FALSE))</f>
        <v>0.04</v>
      </c>
      <c r="E24" s="149">
        <f>if(E23="Yes",VLOOKUP(RESUMEN!$C$4,'Aceptance Rate Delta per Indust'!$B$3:$G$40,5,FALSE),VLOOKUP(RESUMEN!$C$4,'Aceptance Rate Delta per Indust'!$B$3:$G$40,6,FALSE))</f>
        <v>0.017</v>
      </c>
      <c r="F24" s="149">
        <f>if(F23="Yes",VLOOKUP(RESUMEN!$C$4,'Aceptance Rate Delta per Indust'!$B$3:$G$40,5,FALSE),VLOOKUP(RESUMEN!$C$4,'Aceptance Rate Delta per Indust'!$B$3:$G$40,6,FALSE))</f>
        <v>0.04</v>
      </c>
      <c r="G24" s="149">
        <f>if(G23="Yes",VLOOKUP(RESUMEN!$C$4,'Aceptance Rate Delta per Indust'!$B$3:$G$40,5,FALSE),VLOOKUP(RESUMEN!$C$4,'Aceptance Rate Delta per Indust'!$B$3:$G$40,6,FALSE))</f>
        <v>0.04</v>
      </c>
      <c r="H24" s="68"/>
      <c r="I24" s="131"/>
      <c r="J24" s="131"/>
      <c r="K24" s="142"/>
      <c r="L24" s="131"/>
      <c r="M24" s="142" t="s">
        <v>346</v>
      </c>
      <c r="N24" s="68"/>
      <c r="O24" s="68"/>
    </row>
    <row r="25">
      <c r="A25" s="128"/>
      <c r="B25" s="183" t="s">
        <v>347</v>
      </c>
      <c r="C25" s="184">
        <f t="shared" ref="C25:G25" si="10">IFS(C23="Yes",-0.2%,C23="No",-1%)</f>
        <v>-0.01</v>
      </c>
      <c r="D25" s="184">
        <f t="shared" si="10"/>
        <v>-0.01</v>
      </c>
      <c r="E25" s="184">
        <f t="shared" si="10"/>
        <v>-0.002</v>
      </c>
      <c r="F25" s="184">
        <f t="shared" si="10"/>
        <v>-0.01</v>
      </c>
      <c r="G25" s="184">
        <f t="shared" si="10"/>
        <v>-0.01</v>
      </c>
      <c r="H25" s="68"/>
      <c r="I25" s="131"/>
      <c r="J25" s="131"/>
      <c r="K25" s="142"/>
      <c r="L25" s="131"/>
      <c r="M25" s="142" t="s">
        <v>348</v>
      </c>
      <c r="N25" s="68"/>
      <c r="O25" s="68"/>
    </row>
    <row r="26">
      <c r="A26" s="128"/>
      <c r="B26" s="185" t="s">
        <v>349</v>
      </c>
      <c r="C26" s="186">
        <f t="shared" ref="C26:G26" si="11">C24+C25</f>
        <v>0.03</v>
      </c>
      <c r="D26" s="186">
        <f t="shared" si="11"/>
        <v>0.03</v>
      </c>
      <c r="E26" s="186">
        <f t="shared" si="11"/>
        <v>0.015</v>
      </c>
      <c r="F26" s="186">
        <f t="shared" si="11"/>
        <v>0.03</v>
      </c>
      <c r="G26" s="186">
        <f t="shared" si="11"/>
        <v>0.03</v>
      </c>
      <c r="H26" s="68"/>
      <c r="I26" s="169"/>
      <c r="J26" s="169"/>
      <c r="K26" s="132"/>
      <c r="L26" s="169"/>
      <c r="M26" s="132"/>
      <c r="N26" s="68"/>
      <c r="O26" s="68"/>
    </row>
    <row r="27">
      <c r="A27" s="128"/>
      <c r="B27" s="187" t="s">
        <v>350</v>
      </c>
      <c r="C27" s="188">
        <f t="shared" ref="C27:G27" si="12">C25*C22*-1</f>
        <v>2.561943384</v>
      </c>
      <c r="D27" s="188">
        <f t="shared" si="12"/>
        <v>2.575434771</v>
      </c>
      <c r="E27" s="189">
        <f t="shared" si="12"/>
        <v>0.3993296007</v>
      </c>
      <c r="F27" s="188">
        <f t="shared" si="12"/>
        <v>1.640065752</v>
      </c>
      <c r="G27" s="188">
        <f t="shared" si="12"/>
        <v>0.83585736</v>
      </c>
      <c r="H27" s="188">
        <f>SUM(C27:G27)</f>
        <v>8.012630868</v>
      </c>
      <c r="I27" s="190" t="s">
        <v>20</v>
      </c>
      <c r="J27" s="172">
        <f>rounddown(H27-1,0)</f>
        <v>7</v>
      </c>
      <c r="K27" s="172">
        <f>ROUNDUP(H27-1,0)+1</f>
        <v>9</v>
      </c>
      <c r="L27" s="153"/>
      <c r="M27" s="153" t="s">
        <v>333</v>
      </c>
      <c r="N27" s="68"/>
      <c r="O27" s="68"/>
    </row>
    <row r="28">
      <c r="A28" s="128"/>
      <c r="B28" s="68"/>
      <c r="C28" s="176"/>
      <c r="D28" s="176"/>
      <c r="E28" s="175"/>
      <c r="F28" s="175"/>
      <c r="G28" s="175"/>
      <c r="H28" s="68"/>
      <c r="I28" s="169"/>
      <c r="J28" s="169"/>
      <c r="K28" s="132"/>
      <c r="L28" s="169"/>
      <c r="M28" s="132"/>
      <c r="N28" s="68"/>
      <c r="O28" s="68"/>
    </row>
    <row r="29">
      <c r="A29" s="128"/>
      <c r="B29" s="187" t="s">
        <v>351</v>
      </c>
      <c r="C29" s="191">
        <f t="shared" ref="C29:G29" si="13">C27+C20</f>
        <v>5.575994424</v>
      </c>
      <c r="D29" s="191">
        <f t="shared" si="13"/>
        <v>5.605358031</v>
      </c>
      <c r="E29" s="192">
        <f t="shared" si="13"/>
        <v>2.169756402</v>
      </c>
      <c r="F29" s="191">
        <f t="shared" si="13"/>
        <v>3.569554872</v>
      </c>
      <c r="G29" s="191">
        <f t="shared" si="13"/>
        <v>1.81921896</v>
      </c>
      <c r="H29" s="193">
        <f>SUM(C29:G29)</f>
        <v>18.73988269</v>
      </c>
      <c r="I29" s="169"/>
      <c r="J29" s="169" t="s">
        <v>20</v>
      </c>
      <c r="K29" s="142"/>
      <c r="L29" s="169"/>
      <c r="M29" s="142" t="s">
        <v>352</v>
      </c>
      <c r="N29" s="68"/>
      <c r="O29" s="68"/>
    </row>
    <row r="30">
      <c r="A30" s="128"/>
      <c r="B30" s="68"/>
      <c r="E30" s="175"/>
      <c r="F30" s="175"/>
      <c r="G30" s="175"/>
      <c r="H30" s="68"/>
      <c r="I30" s="194"/>
      <c r="J30" s="194"/>
      <c r="K30" s="132"/>
      <c r="L30" s="194"/>
      <c r="M30" s="132"/>
      <c r="N30" s="68"/>
      <c r="O30" s="68"/>
    </row>
    <row r="31">
      <c r="A31" s="128"/>
      <c r="B31" s="164" t="s">
        <v>353</v>
      </c>
      <c r="C31" s="195" t="s">
        <v>426</v>
      </c>
      <c r="D31" s="195" t="s">
        <v>427</v>
      </c>
      <c r="E31" s="195" t="s">
        <v>428</v>
      </c>
      <c r="F31" s="195" t="s">
        <v>429</v>
      </c>
      <c r="G31" s="195" t="s">
        <v>430</v>
      </c>
      <c r="H31" s="176"/>
      <c r="I31" s="196"/>
      <c r="J31" s="196"/>
      <c r="K31" s="142"/>
      <c r="L31" s="196"/>
      <c r="M31" s="142" t="s">
        <v>359</v>
      </c>
      <c r="N31" s="68"/>
      <c r="O31" s="68"/>
    </row>
    <row r="32">
      <c r="A32" s="128"/>
      <c r="B32" s="177" t="s">
        <v>360</v>
      </c>
      <c r="C32" s="178">
        <f t="shared" ref="C32:G32" si="14">C11*C14</f>
        <v>34.25058</v>
      </c>
      <c r="D32" s="178">
        <f t="shared" si="14"/>
        <v>19.004895</v>
      </c>
      <c r="E32" s="178">
        <f t="shared" si="14"/>
        <v>21.857121</v>
      </c>
      <c r="F32" s="178">
        <f t="shared" si="14"/>
        <v>10.26324</v>
      </c>
      <c r="G32" s="178">
        <f t="shared" si="14"/>
        <v>20.4867</v>
      </c>
      <c r="H32" s="176"/>
      <c r="I32" s="194"/>
      <c r="J32" s="194"/>
      <c r="K32" s="132"/>
      <c r="L32" s="194"/>
      <c r="M32" s="132"/>
      <c r="N32" s="68"/>
      <c r="O32" s="68"/>
    </row>
    <row r="33" outlineLevel="1">
      <c r="A33" s="128"/>
      <c r="B33" s="197" t="s">
        <v>361</v>
      </c>
      <c r="C33" s="180">
        <v>0.0</v>
      </c>
      <c r="D33" s="180">
        <v>2.0</v>
      </c>
      <c r="E33" s="180">
        <v>2.0</v>
      </c>
      <c r="F33" s="180">
        <v>2.0</v>
      </c>
      <c r="G33" s="180">
        <v>2.0</v>
      </c>
      <c r="H33" s="176"/>
      <c r="I33" s="194"/>
      <c r="J33" s="194"/>
      <c r="K33" s="142"/>
      <c r="L33" s="194"/>
      <c r="M33" s="142" t="s">
        <v>362</v>
      </c>
      <c r="N33" s="68"/>
      <c r="O33" s="68"/>
    </row>
    <row r="34">
      <c r="A34" s="71" t="s">
        <v>417</v>
      </c>
      <c r="B34" s="198" t="s">
        <v>363</v>
      </c>
      <c r="C34" s="199">
        <v>5.0</v>
      </c>
      <c r="D34" s="199">
        <v>4.0</v>
      </c>
      <c r="E34" s="199">
        <v>4.0</v>
      </c>
      <c r="F34" s="199">
        <v>3.0</v>
      </c>
      <c r="G34" s="199">
        <v>3.0</v>
      </c>
      <c r="H34" s="176"/>
      <c r="I34" s="194"/>
      <c r="J34" s="194"/>
      <c r="K34" s="142"/>
      <c r="L34" s="194"/>
      <c r="M34" s="142" t="s">
        <v>364</v>
      </c>
      <c r="N34" s="68"/>
      <c r="O34" s="68"/>
    </row>
    <row r="35">
      <c r="A35" s="128"/>
      <c r="B35" s="197"/>
      <c r="C35" s="200"/>
      <c r="D35" s="200"/>
      <c r="E35" s="200"/>
      <c r="F35" s="200"/>
      <c r="G35" s="200"/>
      <c r="H35" s="176"/>
      <c r="I35" s="194"/>
      <c r="J35" s="194"/>
      <c r="K35" s="132"/>
      <c r="L35" s="194"/>
      <c r="M35" s="132"/>
      <c r="N35" s="68"/>
      <c r="O35" s="68"/>
    </row>
    <row r="36">
      <c r="A36" s="71" t="s">
        <v>417</v>
      </c>
      <c r="B36" s="198" t="s">
        <v>365</v>
      </c>
      <c r="C36" s="201">
        <v>0.12</v>
      </c>
      <c r="D36" s="201">
        <v>0.12</v>
      </c>
      <c r="E36" s="201">
        <v>0.1</v>
      </c>
      <c r="F36" s="201">
        <v>0.08</v>
      </c>
      <c r="G36" s="201">
        <v>0.07</v>
      </c>
      <c r="I36" s="194"/>
      <c r="J36" s="194"/>
      <c r="K36" s="142"/>
      <c r="L36" s="194"/>
      <c r="M36" s="142" t="s">
        <v>366</v>
      </c>
      <c r="N36" s="68"/>
      <c r="O36" s="68"/>
    </row>
    <row r="37">
      <c r="A37" s="128"/>
      <c r="B37" s="202" t="s">
        <v>367</v>
      </c>
      <c r="C37" s="203">
        <f t="shared" ref="C37:G37" si="15">((1+C35)+(1+C36)-1)*C11-C11</f>
        <v>34.25058</v>
      </c>
      <c r="D37" s="203">
        <f t="shared" si="15"/>
        <v>32.57982</v>
      </c>
      <c r="E37" s="203">
        <f t="shared" si="15"/>
        <v>21.857121</v>
      </c>
      <c r="F37" s="203">
        <f t="shared" si="15"/>
        <v>13.68432</v>
      </c>
      <c r="G37" s="203">
        <f t="shared" si="15"/>
        <v>7.170345</v>
      </c>
      <c r="H37" s="203">
        <f>SUM(C37:G37)</f>
        <v>109.542186</v>
      </c>
      <c r="I37" s="131"/>
      <c r="J37" s="172">
        <f>rounddown(H37-1,0)</f>
        <v>108</v>
      </c>
      <c r="K37" s="172">
        <f>ROUNDUP(H37-1,0)+1</f>
        <v>110</v>
      </c>
      <c r="L37" s="131"/>
      <c r="M37" s="153" t="s">
        <v>333</v>
      </c>
      <c r="N37" s="68"/>
      <c r="O37" s="68"/>
    </row>
    <row r="38">
      <c r="A38" s="128"/>
      <c r="B38" s="68"/>
      <c r="C38" s="204"/>
      <c r="D38" s="204"/>
      <c r="E38" s="204"/>
      <c r="F38" s="204"/>
      <c r="G38" s="204"/>
      <c r="H38" s="205"/>
      <c r="I38" s="194"/>
      <c r="J38" s="194"/>
      <c r="K38" s="132"/>
      <c r="L38" s="194"/>
      <c r="M38" s="132"/>
      <c r="N38" s="68"/>
      <c r="O38" s="68"/>
    </row>
    <row r="39">
      <c r="A39" s="128"/>
      <c r="B39" s="187" t="s">
        <v>368</v>
      </c>
      <c r="C39" s="206">
        <f>C37*RESUMEN!$C$15</f>
        <v>20.550348</v>
      </c>
      <c r="D39" s="206">
        <f>D37*RESUMEN!$C$15</f>
        <v>19.547892</v>
      </c>
      <c r="E39" s="206">
        <f>E37*RESUMEN!$C$15</f>
        <v>13.1142726</v>
      </c>
      <c r="F39" s="206">
        <f>F37*RESUMEN!$C$15</f>
        <v>8.210592</v>
      </c>
      <c r="G39" s="206">
        <f>G37*RESUMEN!$C$15</f>
        <v>4.302207</v>
      </c>
      <c r="H39" s="203">
        <f>SUM(C39:G39)</f>
        <v>65.7253116</v>
      </c>
      <c r="I39" s="190"/>
      <c r="J39" s="172">
        <f>rounddown(H39-1,0)</f>
        <v>64</v>
      </c>
      <c r="K39" s="172">
        <f>ROUNDUP(H39-1,0)+1</f>
        <v>66</v>
      </c>
      <c r="L39" s="190"/>
      <c r="M39" s="153" t="s">
        <v>333</v>
      </c>
      <c r="N39" s="68"/>
      <c r="O39" s="68"/>
    </row>
    <row r="40">
      <c r="A40" s="128"/>
      <c r="B40" s="68"/>
      <c r="C40" s="175"/>
      <c r="D40" s="175"/>
      <c r="E40" s="175"/>
      <c r="F40" s="175"/>
      <c r="G40" s="175"/>
      <c r="H40" s="176"/>
      <c r="I40" s="194"/>
      <c r="J40" s="194"/>
      <c r="K40" s="132"/>
      <c r="L40" s="194"/>
      <c r="M40" s="132"/>
      <c r="N40" s="68"/>
      <c r="O40" s="68"/>
    </row>
    <row r="41">
      <c r="A41" s="128"/>
      <c r="B41" s="197" t="s">
        <v>369</v>
      </c>
      <c r="C41" s="207">
        <v>0.05</v>
      </c>
      <c r="D41" s="207">
        <v>0.05</v>
      </c>
      <c r="E41" s="207">
        <v>0.04</v>
      </c>
      <c r="F41" s="207">
        <v>0.035</v>
      </c>
      <c r="G41" s="207">
        <v>0.02</v>
      </c>
      <c r="H41" s="176"/>
      <c r="I41" s="194"/>
      <c r="J41" s="194"/>
      <c r="K41" s="142"/>
      <c r="L41" s="194"/>
      <c r="M41" s="142" t="s">
        <v>370</v>
      </c>
      <c r="N41" s="68"/>
      <c r="O41" s="68"/>
    </row>
    <row r="42">
      <c r="A42" s="128"/>
      <c r="B42" s="208" t="s">
        <v>371</v>
      </c>
      <c r="C42" s="209">
        <f t="shared" ref="C42:G42" si="16">C41*C11</f>
        <v>14.271075</v>
      </c>
      <c r="D42" s="209">
        <f t="shared" si="16"/>
        <v>13.574925</v>
      </c>
      <c r="E42" s="209">
        <f t="shared" si="16"/>
        <v>8.7428484</v>
      </c>
      <c r="F42" s="209">
        <f t="shared" si="16"/>
        <v>5.98689</v>
      </c>
      <c r="G42" s="209">
        <f t="shared" si="16"/>
        <v>2.04867</v>
      </c>
      <c r="H42" s="176"/>
      <c r="I42" s="194"/>
      <c r="J42" s="194"/>
      <c r="K42" s="132"/>
      <c r="L42" s="194"/>
      <c r="M42" s="132"/>
      <c r="N42" s="68"/>
      <c r="O42" s="68"/>
    </row>
    <row r="43">
      <c r="A43" s="128"/>
      <c r="B43" s="68"/>
      <c r="C43" s="175"/>
      <c r="D43" s="175"/>
      <c r="E43" s="175"/>
      <c r="F43" s="175"/>
      <c r="G43" s="175"/>
      <c r="H43" s="176"/>
      <c r="I43" s="194"/>
      <c r="J43" s="194"/>
      <c r="K43" s="132"/>
      <c r="L43" s="194"/>
      <c r="M43" s="132"/>
      <c r="N43" s="68"/>
      <c r="O43" s="68"/>
    </row>
    <row r="44">
      <c r="A44" s="128"/>
      <c r="B44" s="185" t="s">
        <v>372</v>
      </c>
      <c r="C44" s="210">
        <f t="shared" ref="C44:G44" si="17">C24</f>
        <v>0.04</v>
      </c>
      <c r="D44" s="210">
        <f t="shared" si="17"/>
        <v>0.04</v>
      </c>
      <c r="E44" s="210">
        <f t="shared" si="17"/>
        <v>0.017</v>
      </c>
      <c r="F44" s="210">
        <f t="shared" si="17"/>
        <v>0.04</v>
      </c>
      <c r="G44" s="210">
        <f t="shared" si="17"/>
        <v>0.04</v>
      </c>
      <c r="H44" s="176"/>
      <c r="I44" s="194"/>
      <c r="J44" s="194"/>
      <c r="K44" s="132"/>
      <c r="L44" s="194"/>
      <c r="M44" s="132"/>
      <c r="N44" s="68"/>
      <c r="O44" s="68"/>
    </row>
    <row r="45">
      <c r="A45" s="128"/>
      <c r="B45" s="211" t="s">
        <v>373</v>
      </c>
      <c r="C45" s="212">
        <v>0.012</v>
      </c>
      <c r="D45" s="212">
        <v>0.012</v>
      </c>
      <c r="E45" s="212">
        <v>0.012</v>
      </c>
      <c r="F45" s="212">
        <v>0.012</v>
      </c>
      <c r="G45" s="212">
        <v>0.012</v>
      </c>
      <c r="H45" s="176"/>
      <c r="I45" s="194"/>
      <c r="J45" s="194"/>
      <c r="K45" s="132"/>
      <c r="L45" s="194"/>
      <c r="M45" s="132"/>
      <c r="N45" s="68"/>
      <c r="O45" s="68"/>
    </row>
    <row r="46">
      <c r="A46" s="128"/>
      <c r="B46" s="68"/>
      <c r="C46" s="130"/>
      <c r="D46" s="130"/>
      <c r="E46" s="130"/>
      <c r="F46" s="130"/>
      <c r="G46" s="130"/>
      <c r="H46" s="176"/>
      <c r="I46" s="194"/>
      <c r="J46" s="194"/>
      <c r="K46" s="132"/>
      <c r="L46" s="194"/>
      <c r="M46" s="132"/>
      <c r="N46" s="68"/>
      <c r="O46" s="68"/>
    </row>
    <row r="47">
      <c r="A47" s="128"/>
      <c r="B47" s="187" t="s">
        <v>374</v>
      </c>
      <c r="C47" s="203">
        <f t="shared" ref="C47:G47" si="18">(C42+C37)*(C44-C45)</f>
        <v>1.35860634</v>
      </c>
      <c r="D47" s="203">
        <f t="shared" si="18"/>
        <v>1.29233286</v>
      </c>
      <c r="E47" s="203">
        <f t="shared" si="18"/>
        <v>0.152999847</v>
      </c>
      <c r="F47" s="203">
        <f t="shared" si="18"/>
        <v>0.55079388</v>
      </c>
      <c r="G47" s="203">
        <f t="shared" si="18"/>
        <v>0.25813242</v>
      </c>
      <c r="H47" s="203">
        <f>SUM(C47:G47)</f>
        <v>3.612865347</v>
      </c>
      <c r="I47" s="190"/>
      <c r="J47" s="213">
        <f>if(H47&gt;1,ROUNDUP(H47-1,0),H47)</f>
        <v>3</v>
      </c>
      <c r="K47" s="213">
        <f>if(H47&gt;1,ROUNDUP(H47-1,0),H47)+2</f>
        <v>5</v>
      </c>
      <c r="L47" s="190"/>
      <c r="M47" s="153" t="s">
        <v>333</v>
      </c>
      <c r="N47" s="68"/>
      <c r="O47" s="68"/>
    </row>
    <row r="48">
      <c r="A48" s="128"/>
      <c r="B48" s="68"/>
      <c r="C48" s="96"/>
      <c r="D48" s="96"/>
      <c r="E48" s="96"/>
      <c r="F48" s="96"/>
      <c r="G48" s="96"/>
      <c r="H48" s="176"/>
      <c r="I48" s="169"/>
      <c r="J48" s="169"/>
      <c r="K48" s="132"/>
      <c r="L48" s="169"/>
      <c r="M48" s="132"/>
      <c r="N48" s="68"/>
      <c r="O48" s="68"/>
    </row>
    <row r="49">
      <c r="A49" s="128"/>
      <c r="B49" s="187" t="s">
        <v>375</v>
      </c>
      <c r="C49" s="214">
        <f t="shared" ref="C49:G49" si="19">C47+C39</f>
        <v>21.90895434</v>
      </c>
      <c r="D49" s="214">
        <f t="shared" si="19"/>
        <v>20.84022486</v>
      </c>
      <c r="E49" s="214">
        <f t="shared" si="19"/>
        <v>13.26727245</v>
      </c>
      <c r="F49" s="214">
        <f t="shared" si="19"/>
        <v>8.76138588</v>
      </c>
      <c r="G49" s="214">
        <f t="shared" si="19"/>
        <v>4.56033942</v>
      </c>
      <c r="H49" s="215">
        <f>SUM(C49:G49)</f>
        <v>69.33817695</v>
      </c>
      <c r="I49" s="194"/>
      <c r="J49" s="194"/>
      <c r="K49" s="142"/>
      <c r="L49" s="194"/>
      <c r="M49" s="142" t="s">
        <v>376</v>
      </c>
      <c r="N49" s="68"/>
      <c r="O49" s="68"/>
    </row>
    <row r="50">
      <c r="A50" s="128"/>
      <c r="H50" s="176"/>
      <c r="I50" s="194"/>
      <c r="J50" s="194"/>
      <c r="K50" s="132"/>
      <c r="L50" s="194"/>
      <c r="M50" s="132"/>
      <c r="N50" s="68"/>
      <c r="O50" s="68"/>
    </row>
    <row r="51">
      <c r="A51" s="128"/>
      <c r="H51" s="176"/>
      <c r="I51" s="194"/>
      <c r="J51" s="194"/>
      <c r="K51" s="132"/>
      <c r="L51" s="194"/>
      <c r="M51" s="132"/>
      <c r="N51" s="68"/>
      <c r="O51" s="68"/>
    </row>
    <row r="52">
      <c r="A52" s="128"/>
      <c r="B52" s="68"/>
      <c r="C52" s="175"/>
      <c r="D52" s="175"/>
      <c r="E52" s="175"/>
      <c r="F52" s="175"/>
      <c r="G52" s="175"/>
      <c r="H52" s="176"/>
      <c r="I52" s="194"/>
      <c r="J52" s="194"/>
      <c r="K52" s="132"/>
      <c r="L52" s="194"/>
      <c r="M52" s="132"/>
      <c r="N52" s="68"/>
      <c r="O52" s="68"/>
    </row>
    <row r="53">
      <c r="A53" s="128"/>
      <c r="B53" s="68"/>
      <c r="C53" s="175"/>
      <c r="D53" s="175"/>
      <c r="E53" s="175"/>
      <c r="F53" s="175"/>
      <c r="G53" s="175"/>
      <c r="H53" s="176"/>
      <c r="I53" s="194"/>
      <c r="J53" s="194"/>
      <c r="K53" s="132"/>
      <c r="L53" s="194"/>
      <c r="M53" s="132"/>
      <c r="N53" s="68"/>
      <c r="O53" s="68"/>
    </row>
    <row r="54">
      <c r="A54" s="128"/>
      <c r="B54" s="216"/>
      <c r="C54" s="217"/>
      <c r="D54" s="217"/>
      <c r="E54" s="217"/>
      <c r="F54" s="217"/>
      <c r="G54" s="217"/>
      <c r="H54" s="176"/>
      <c r="I54" s="194"/>
      <c r="J54" s="194"/>
      <c r="K54" s="132"/>
      <c r="L54" s="194"/>
      <c r="M54" s="132"/>
      <c r="N54" s="68"/>
      <c r="O54" s="68"/>
    </row>
    <row r="55">
      <c r="A55" s="128"/>
      <c r="B55" s="216"/>
      <c r="C55" s="217"/>
      <c r="D55" s="217"/>
      <c r="E55" s="217"/>
      <c r="F55" s="217"/>
      <c r="G55" s="217"/>
      <c r="H55" s="176"/>
      <c r="I55" s="194"/>
      <c r="J55" s="194"/>
      <c r="K55" s="132"/>
      <c r="L55" s="194"/>
      <c r="M55" s="132"/>
      <c r="N55" s="68"/>
      <c r="O55" s="68"/>
    </row>
    <row r="56">
      <c r="A56" s="128"/>
      <c r="B56" s="216"/>
      <c r="C56" s="217"/>
      <c r="D56" s="217"/>
      <c r="E56" s="217"/>
      <c r="F56" s="217"/>
      <c r="G56" s="217"/>
      <c r="H56" s="176"/>
      <c r="I56" s="194"/>
      <c r="J56" s="194"/>
      <c r="K56" s="132"/>
      <c r="L56" s="194"/>
      <c r="M56" s="132"/>
      <c r="N56" s="68"/>
      <c r="O56" s="68"/>
    </row>
    <row r="57">
      <c r="A57" s="128"/>
      <c r="B57" s="216"/>
      <c r="C57" s="217"/>
      <c r="D57" s="217"/>
      <c r="E57" s="217"/>
      <c r="F57" s="217"/>
      <c r="G57" s="217"/>
      <c r="H57" s="176"/>
      <c r="I57" s="194"/>
      <c r="J57" s="194"/>
      <c r="K57" s="132"/>
      <c r="L57" s="194"/>
      <c r="M57" s="132"/>
      <c r="N57" s="68"/>
      <c r="O57" s="68"/>
    </row>
    <row r="58">
      <c r="A58" s="128"/>
      <c r="B58" s="216"/>
      <c r="C58" s="217"/>
      <c r="D58" s="217"/>
      <c r="E58" s="217"/>
      <c r="F58" s="217"/>
      <c r="G58" s="217"/>
      <c r="H58" s="176"/>
      <c r="I58" s="194"/>
      <c r="J58" s="194"/>
      <c r="K58" s="132"/>
      <c r="L58" s="194"/>
      <c r="M58" s="132"/>
      <c r="N58" s="68"/>
      <c r="O58" s="68"/>
    </row>
    <row r="59">
      <c r="A59" s="128"/>
      <c r="B59" s="216"/>
      <c r="C59" s="217"/>
      <c r="D59" s="217"/>
      <c r="E59" s="217"/>
      <c r="F59" s="217"/>
      <c r="G59" s="217"/>
      <c r="H59" s="176"/>
      <c r="I59" s="194"/>
      <c r="J59" s="194"/>
      <c r="K59" s="132"/>
      <c r="L59" s="194"/>
      <c r="M59" s="132"/>
      <c r="N59" s="68"/>
      <c r="O59" s="68"/>
    </row>
    <row r="60">
      <c r="A60" s="128"/>
      <c r="B60" s="216"/>
      <c r="C60" s="217"/>
      <c r="D60" s="217"/>
      <c r="E60" s="217"/>
      <c r="F60" s="217"/>
      <c r="G60" s="217"/>
      <c r="H60" s="176"/>
      <c r="I60" s="194"/>
      <c r="J60" s="194"/>
      <c r="K60" s="132"/>
      <c r="L60" s="194"/>
      <c r="M60" s="132"/>
      <c r="N60" s="68"/>
      <c r="O60" s="68"/>
    </row>
    <row r="61">
      <c r="A61" s="128"/>
      <c r="B61" s="216"/>
      <c r="C61" s="217"/>
      <c r="D61" s="217"/>
      <c r="E61" s="217"/>
      <c r="F61" s="217"/>
      <c r="G61" s="217"/>
      <c r="H61" s="176"/>
      <c r="I61" s="194"/>
      <c r="J61" s="194"/>
      <c r="K61" s="132"/>
      <c r="L61" s="194"/>
      <c r="M61" s="132"/>
      <c r="N61" s="68"/>
      <c r="O61" s="68"/>
    </row>
    <row r="62">
      <c r="A62" s="128"/>
      <c r="B62" s="216"/>
      <c r="C62" s="217"/>
      <c r="D62" s="217"/>
      <c r="E62" s="217"/>
      <c r="F62" s="217"/>
      <c r="G62" s="217"/>
      <c r="H62" s="176"/>
      <c r="I62" s="194"/>
      <c r="J62" s="194"/>
      <c r="K62" s="132"/>
      <c r="L62" s="194"/>
      <c r="M62" s="132"/>
      <c r="N62" s="68"/>
      <c r="O62" s="68"/>
    </row>
    <row r="63">
      <c r="A63" s="128"/>
      <c r="B63" s="216"/>
      <c r="C63" s="217"/>
      <c r="D63" s="217"/>
      <c r="E63" s="217"/>
      <c r="F63" s="217"/>
      <c r="G63" s="217"/>
      <c r="H63" s="176"/>
      <c r="I63" s="194"/>
      <c r="J63" s="194"/>
      <c r="K63" s="132"/>
      <c r="L63" s="194"/>
      <c r="M63" s="132"/>
      <c r="N63" s="68"/>
      <c r="O63" s="68"/>
    </row>
    <row r="64">
      <c r="A64" s="128"/>
      <c r="B64" s="216"/>
      <c r="C64" s="217"/>
      <c r="D64" s="217"/>
      <c r="E64" s="217"/>
      <c r="F64" s="217"/>
      <c r="G64" s="217"/>
      <c r="H64" s="176"/>
      <c r="I64" s="194"/>
      <c r="J64" s="194"/>
      <c r="K64" s="132"/>
      <c r="L64" s="194"/>
      <c r="M64" s="132"/>
      <c r="N64" s="68"/>
      <c r="O64" s="68"/>
    </row>
    <row r="65">
      <c r="A65" s="128"/>
      <c r="B65" s="216"/>
      <c r="C65" s="217"/>
      <c r="D65" s="217"/>
      <c r="E65" s="217"/>
      <c r="F65" s="217"/>
      <c r="G65" s="217"/>
      <c r="H65" s="176"/>
      <c r="I65" s="194"/>
      <c r="J65" s="194"/>
      <c r="K65" s="132"/>
      <c r="L65" s="194"/>
      <c r="M65" s="132"/>
      <c r="N65" s="68"/>
      <c r="O65" s="68"/>
    </row>
    <row r="66">
      <c r="A66" s="128"/>
      <c r="B66" s="216"/>
      <c r="C66" s="217"/>
      <c r="D66" s="217"/>
      <c r="E66" s="217"/>
      <c r="F66" s="217"/>
      <c r="G66" s="217"/>
      <c r="H66" s="176"/>
      <c r="I66" s="194"/>
      <c r="J66" s="194"/>
      <c r="K66" s="132"/>
      <c r="L66" s="194"/>
      <c r="M66" s="132"/>
      <c r="N66" s="68"/>
      <c r="O66" s="68"/>
    </row>
    <row r="67">
      <c r="A67" s="128"/>
      <c r="B67" s="216"/>
      <c r="C67" s="217"/>
      <c r="D67" s="217"/>
      <c r="E67" s="217"/>
      <c r="F67" s="217"/>
      <c r="G67" s="217"/>
      <c r="H67" s="176"/>
      <c r="I67" s="194"/>
      <c r="J67" s="194"/>
      <c r="K67" s="132"/>
      <c r="L67" s="194"/>
      <c r="M67" s="132"/>
      <c r="N67" s="68"/>
      <c r="O67" s="68"/>
    </row>
    <row r="68">
      <c r="A68" s="128"/>
      <c r="B68" s="216"/>
      <c r="C68" s="217"/>
      <c r="D68" s="217"/>
      <c r="E68" s="217"/>
      <c r="F68" s="217"/>
      <c r="G68" s="217"/>
      <c r="H68" s="176"/>
      <c r="I68" s="194"/>
      <c r="J68" s="194"/>
      <c r="K68" s="132"/>
      <c r="L68" s="194"/>
      <c r="M68" s="132"/>
      <c r="N68" s="68"/>
      <c r="O68" s="68"/>
    </row>
    <row r="69">
      <c r="A69" s="128"/>
      <c r="B69" s="216"/>
      <c r="C69" s="217"/>
      <c r="D69" s="217"/>
      <c r="E69" s="217"/>
      <c r="F69" s="217"/>
      <c r="G69" s="217"/>
      <c r="H69" s="176"/>
      <c r="I69" s="194"/>
      <c r="J69" s="194"/>
      <c r="K69" s="132"/>
      <c r="L69" s="194"/>
      <c r="M69" s="132"/>
      <c r="N69" s="68"/>
      <c r="O69" s="68"/>
    </row>
    <row r="70">
      <c r="A70" s="128"/>
      <c r="B70" s="216"/>
      <c r="C70" s="217"/>
      <c r="D70" s="217"/>
      <c r="E70" s="217"/>
      <c r="F70" s="217"/>
      <c r="G70" s="217"/>
      <c r="H70" s="176"/>
      <c r="I70" s="194"/>
      <c r="J70" s="194"/>
      <c r="K70" s="132"/>
      <c r="L70" s="194"/>
      <c r="M70" s="132"/>
      <c r="N70" s="68"/>
      <c r="O70" s="68"/>
    </row>
    <row r="71">
      <c r="A71" s="128"/>
      <c r="B71" s="216"/>
      <c r="C71" s="217"/>
      <c r="D71" s="217"/>
      <c r="E71" s="217"/>
      <c r="F71" s="217"/>
      <c r="G71" s="217"/>
      <c r="H71" s="176"/>
      <c r="I71" s="194"/>
      <c r="J71" s="194"/>
      <c r="K71" s="132"/>
      <c r="L71" s="194"/>
      <c r="M71" s="132"/>
      <c r="N71" s="68"/>
      <c r="O71" s="68"/>
    </row>
    <row r="72">
      <c r="A72" s="128"/>
      <c r="B72" s="216"/>
      <c r="C72" s="217"/>
      <c r="D72" s="217"/>
      <c r="E72" s="217"/>
      <c r="F72" s="217"/>
      <c r="G72" s="217"/>
      <c r="H72" s="176"/>
      <c r="I72" s="194"/>
      <c r="J72" s="194"/>
      <c r="K72" s="132"/>
      <c r="L72" s="194"/>
      <c r="M72" s="132"/>
      <c r="N72" s="68"/>
      <c r="O72" s="68"/>
    </row>
    <row r="73">
      <c r="A73" s="128"/>
      <c r="B73" s="216"/>
      <c r="C73" s="217"/>
      <c r="D73" s="217"/>
      <c r="E73" s="217"/>
      <c r="F73" s="217"/>
      <c r="G73" s="217"/>
      <c r="H73" s="176"/>
      <c r="I73" s="194"/>
      <c r="J73" s="194"/>
      <c r="K73" s="132"/>
      <c r="L73" s="194"/>
      <c r="M73" s="132"/>
      <c r="N73" s="68"/>
      <c r="O73" s="68"/>
    </row>
    <row r="74">
      <c r="A74" s="128"/>
      <c r="B74" s="216"/>
      <c r="C74" s="217"/>
      <c r="D74" s="217"/>
      <c r="E74" s="217"/>
      <c r="F74" s="217"/>
      <c r="G74" s="217"/>
      <c r="H74" s="176"/>
      <c r="I74" s="194"/>
      <c r="J74" s="194"/>
      <c r="K74" s="132"/>
      <c r="L74" s="194"/>
      <c r="M74" s="132"/>
      <c r="N74" s="68"/>
      <c r="O74" s="68"/>
    </row>
    <row r="75">
      <c r="A75" s="128"/>
      <c r="B75" s="216"/>
      <c r="C75" s="217"/>
      <c r="D75" s="217"/>
      <c r="E75" s="217"/>
      <c r="F75" s="217"/>
      <c r="G75" s="217"/>
      <c r="H75" s="176"/>
      <c r="I75" s="194"/>
      <c r="J75" s="194"/>
      <c r="K75" s="132"/>
      <c r="L75" s="194"/>
      <c r="M75" s="132"/>
      <c r="N75" s="68"/>
      <c r="O75" s="68"/>
    </row>
    <row r="76">
      <c r="A76" s="128"/>
      <c r="B76" s="216"/>
      <c r="C76" s="217"/>
      <c r="D76" s="217"/>
      <c r="E76" s="217"/>
      <c r="F76" s="217"/>
      <c r="G76" s="217"/>
      <c r="H76" s="176"/>
      <c r="I76" s="194"/>
      <c r="J76" s="194"/>
      <c r="K76" s="132"/>
      <c r="L76" s="194"/>
      <c r="M76" s="132"/>
      <c r="N76" s="68"/>
      <c r="O76" s="68"/>
    </row>
    <row r="77">
      <c r="A77" s="128"/>
      <c r="B77" s="216"/>
      <c r="C77" s="217"/>
      <c r="D77" s="217"/>
      <c r="E77" s="217"/>
      <c r="F77" s="217"/>
      <c r="G77" s="217"/>
      <c r="H77" s="176"/>
      <c r="I77" s="194"/>
      <c r="J77" s="194"/>
      <c r="K77" s="132"/>
      <c r="L77" s="194"/>
      <c r="M77" s="132"/>
      <c r="N77" s="68"/>
      <c r="O77" s="68"/>
    </row>
    <row r="78">
      <c r="A78" s="128"/>
      <c r="B78" s="216"/>
      <c r="C78" s="217"/>
      <c r="D78" s="217"/>
      <c r="E78" s="217"/>
      <c r="F78" s="217"/>
      <c r="G78" s="217"/>
      <c r="H78" s="176"/>
      <c r="I78" s="194"/>
      <c r="J78" s="194"/>
      <c r="K78" s="132"/>
      <c r="L78" s="194"/>
      <c r="M78" s="132"/>
      <c r="N78" s="68"/>
      <c r="O78" s="68"/>
    </row>
    <row r="79">
      <c r="A79" s="128"/>
      <c r="B79" s="216"/>
      <c r="C79" s="217"/>
      <c r="D79" s="217"/>
      <c r="E79" s="217"/>
      <c r="F79" s="217"/>
      <c r="G79" s="217"/>
      <c r="H79" s="176"/>
      <c r="I79" s="194"/>
      <c r="J79" s="194"/>
      <c r="K79" s="132"/>
      <c r="L79" s="194"/>
      <c r="M79" s="132"/>
      <c r="N79" s="68"/>
      <c r="O79" s="68"/>
    </row>
    <row r="80">
      <c r="A80" s="128"/>
      <c r="B80" s="216"/>
      <c r="C80" s="217"/>
      <c r="D80" s="217"/>
      <c r="E80" s="217"/>
      <c r="F80" s="217"/>
      <c r="G80" s="217"/>
      <c r="H80" s="176"/>
      <c r="I80" s="194"/>
      <c r="J80" s="194"/>
      <c r="K80" s="132"/>
      <c r="L80" s="194"/>
      <c r="M80" s="132"/>
      <c r="N80" s="68"/>
      <c r="O80" s="68"/>
    </row>
    <row r="81">
      <c r="A81" s="128"/>
      <c r="B81" s="216"/>
      <c r="C81" s="217"/>
      <c r="D81" s="217"/>
      <c r="E81" s="217"/>
      <c r="F81" s="217"/>
      <c r="G81" s="217"/>
      <c r="H81" s="176"/>
      <c r="I81" s="194"/>
      <c r="J81" s="194"/>
      <c r="K81" s="132"/>
      <c r="L81" s="194"/>
      <c r="M81" s="132"/>
      <c r="N81" s="68"/>
      <c r="O81" s="68"/>
    </row>
    <row r="82">
      <c r="A82" s="128"/>
      <c r="B82" s="216"/>
      <c r="C82" s="217"/>
      <c r="D82" s="217"/>
      <c r="E82" s="217"/>
      <c r="F82" s="217"/>
      <c r="G82" s="217"/>
      <c r="H82" s="176"/>
      <c r="I82" s="194"/>
      <c r="J82" s="194"/>
      <c r="K82" s="132"/>
      <c r="L82" s="194"/>
      <c r="M82" s="132"/>
      <c r="N82" s="68"/>
      <c r="O82" s="68"/>
    </row>
    <row r="83">
      <c r="A83" s="128"/>
      <c r="B83" s="216"/>
      <c r="C83" s="217"/>
      <c r="D83" s="217"/>
      <c r="E83" s="217"/>
      <c r="F83" s="217"/>
      <c r="G83" s="217"/>
      <c r="H83" s="176"/>
      <c r="I83" s="194"/>
      <c r="J83" s="194"/>
      <c r="K83" s="132"/>
      <c r="L83" s="194"/>
      <c r="M83" s="132"/>
      <c r="N83" s="68"/>
      <c r="O83" s="68"/>
    </row>
    <row r="84">
      <c r="A84" s="128"/>
      <c r="B84" s="216"/>
      <c r="C84" s="217"/>
      <c r="D84" s="217"/>
      <c r="E84" s="217"/>
      <c r="F84" s="217"/>
      <c r="G84" s="217"/>
      <c r="H84" s="176"/>
      <c r="I84" s="194"/>
      <c r="J84" s="194"/>
      <c r="K84" s="132"/>
      <c r="L84" s="194"/>
      <c r="M84" s="132"/>
      <c r="N84" s="68"/>
      <c r="O84" s="68"/>
    </row>
    <row r="85">
      <c r="A85" s="128"/>
      <c r="B85" s="216"/>
      <c r="C85" s="217"/>
      <c r="D85" s="217"/>
      <c r="E85" s="217"/>
      <c r="F85" s="217"/>
      <c r="G85" s="217"/>
      <c r="H85" s="176"/>
      <c r="I85" s="194"/>
      <c r="J85" s="194"/>
      <c r="K85" s="132"/>
      <c r="L85" s="194"/>
      <c r="M85" s="132"/>
      <c r="N85" s="68"/>
      <c r="O85" s="68"/>
    </row>
    <row r="86">
      <c r="A86" s="128"/>
      <c r="B86" s="216"/>
      <c r="C86" s="217"/>
      <c r="D86" s="217"/>
      <c r="E86" s="217"/>
      <c r="F86" s="217"/>
      <c r="G86" s="217"/>
      <c r="H86" s="176"/>
      <c r="I86" s="194"/>
      <c r="J86" s="194"/>
      <c r="K86" s="132"/>
      <c r="L86" s="194"/>
      <c r="M86" s="132"/>
      <c r="N86" s="68"/>
      <c r="O86" s="68"/>
    </row>
    <row r="87">
      <c r="A87" s="128"/>
      <c r="B87" s="216"/>
      <c r="C87" s="217"/>
      <c r="D87" s="217"/>
      <c r="E87" s="217"/>
      <c r="F87" s="217"/>
      <c r="G87" s="217"/>
      <c r="H87" s="176"/>
      <c r="I87" s="194"/>
      <c r="J87" s="194"/>
      <c r="K87" s="132"/>
      <c r="L87" s="194"/>
      <c r="M87" s="132"/>
      <c r="N87" s="68"/>
      <c r="O87" s="68"/>
    </row>
    <row r="88">
      <c r="A88" s="128"/>
      <c r="B88" s="216"/>
      <c r="C88" s="217"/>
      <c r="D88" s="217"/>
      <c r="E88" s="217"/>
      <c r="F88" s="217"/>
      <c r="G88" s="217"/>
      <c r="H88" s="176"/>
      <c r="I88" s="194"/>
      <c r="J88" s="194"/>
      <c r="K88" s="132"/>
      <c r="L88" s="194"/>
      <c r="M88" s="132"/>
      <c r="N88" s="68"/>
      <c r="O88" s="68"/>
    </row>
    <row r="89">
      <c r="A89" s="128"/>
      <c r="B89" s="216"/>
      <c r="C89" s="217"/>
      <c r="D89" s="217"/>
      <c r="E89" s="217"/>
      <c r="F89" s="217"/>
      <c r="G89" s="217"/>
      <c r="H89" s="176"/>
      <c r="I89" s="194"/>
      <c r="J89" s="194"/>
      <c r="K89" s="132"/>
      <c r="L89" s="194"/>
      <c r="M89" s="132"/>
      <c r="N89" s="68"/>
      <c r="O89" s="68"/>
    </row>
  </sheetData>
  <mergeCells count="1">
    <mergeCell ref="C2: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8"/>
      <c r="B1" s="68"/>
      <c r="C1" s="175"/>
      <c r="D1" s="128"/>
      <c r="E1" s="129"/>
      <c r="F1" s="130"/>
      <c r="G1" s="130"/>
      <c r="H1" s="130"/>
      <c r="I1" s="130"/>
      <c r="J1" s="130"/>
      <c r="K1" s="218"/>
      <c r="L1" s="218"/>
      <c r="M1" s="68"/>
      <c r="N1" s="68"/>
      <c r="O1" s="68"/>
      <c r="P1" s="68"/>
      <c r="Q1" s="68"/>
    </row>
    <row r="2">
      <c r="A2" s="68"/>
      <c r="B2" s="221" t="s">
        <v>267</v>
      </c>
      <c r="C2" s="222" t="s">
        <v>431</v>
      </c>
      <c r="D2" s="133"/>
      <c r="E2" s="134"/>
      <c r="F2" s="135" t="s">
        <v>377</v>
      </c>
      <c r="K2" s="218"/>
      <c r="L2" s="218"/>
      <c r="M2" s="68"/>
      <c r="N2" s="68"/>
      <c r="O2" s="68"/>
      <c r="P2" s="68"/>
      <c r="Q2" s="68"/>
    </row>
    <row r="3">
      <c r="A3" s="68"/>
      <c r="B3" s="248"/>
      <c r="C3" s="133"/>
      <c r="D3" s="133"/>
      <c r="E3" s="136" t="s">
        <v>311</v>
      </c>
      <c r="F3" s="137" t="str">
        <f>'BC Pay-ins EMEA'!C3</f>
        <v>France</v>
      </c>
      <c r="G3" s="137" t="str">
        <f>'BC Pay-ins EMEA'!D3</f>
        <v>Spain</v>
      </c>
      <c r="H3" s="137" t="str">
        <f>'BC Pay-ins EMEA'!E3</f>
        <v>United Kingdom</v>
      </c>
      <c r="I3" s="137" t="str">
        <f>'BC Pay-ins EMEA'!F3</f>
        <v>Italy</v>
      </c>
      <c r="J3" s="137" t="str">
        <f>'BC Pay-ins EMEA'!G3</f>
        <v>Germany</v>
      </c>
      <c r="K3" s="138" t="s">
        <v>378</v>
      </c>
      <c r="L3" s="138" t="s">
        <v>379</v>
      </c>
      <c r="M3" s="138" t="s">
        <v>380</v>
      </c>
      <c r="N3" s="68"/>
      <c r="O3" s="68"/>
      <c r="P3" s="68"/>
      <c r="Q3" s="68"/>
    </row>
    <row r="4">
      <c r="A4" s="68"/>
      <c r="B4" s="219" t="s">
        <v>84</v>
      </c>
      <c r="C4" s="220" t="s">
        <v>6</v>
      </c>
      <c r="D4" s="133"/>
      <c r="E4" s="223" t="s">
        <v>353</v>
      </c>
      <c r="F4" s="224"/>
      <c r="G4" s="224"/>
      <c r="H4" s="224"/>
      <c r="I4" s="224"/>
      <c r="J4" s="224"/>
      <c r="K4" s="223"/>
      <c r="L4" s="223"/>
      <c r="M4" s="223"/>
      <c r="N4" s="68"/>
      <c r="O4" s="68"/>
      <c r="P4" s="117" t="s">
        <v>432</v>
      </c>
      <c r="Q4" s="68"/>
    </row>
    <row r="5">
      <c r="A5" s="68"/>
      <c r="B5" s="225" t="s">
        <v>28</v>
      </c>
      <c r="C5" s="226" t="s">
        <v>68</v>
      </c>
      <c r="D5" s="133"/>
      <c r="E5" s="197" t="s">
        <v>361</v>
      </c>
      <c r="F5" s="227">
        <f>'BC Pay-ins EMEA'!C33</f>
        <v>0</v>
      </c>
      <c r="G5" s="227">
        <f>'BC Pay-ins EMEA'!D33</f>
        <v>2</v>
      </c>
      <c r="H5" s="227">
        <f>'BC Pay-ins EMEA'!E33</f>
        <v>2</v>
      </c>
      <c r="I5" s="227">
        <f>'BC Pay-ins EMEA'!F33</f>
        <v>2</v>
      </c>
      <c r="J5" s="227">
        <f>'BC Pay-ins EMEA'!G33</f>
        <v>2</v>
      </c>
      <c r="L5" s="228">
        <f t="shared" ref="L5:L6" si="1">SUM(F5:J5)</f>
        <v>8</v>
      </c>
      <c r="M5" s="133"/>
      <c r="N5" s="96"/>
      <c r="O5" s="68"/>
      <c r="P5" s="68"/>
      <c r="Q5" s="68"/>
    </row>
    <row r="6">
      <c r="A6" s="68"/>
      <c r="B6" s="68"/>
      <c r="C6" s="175"/>
      <c r="D6" s="133"/>
      <c r="E6" s="198" t="s">
        <v>363</v>
      </c>
      <c r="F6" s="227">
        <f>'BC Pay-ins EMEA'!C34</f>
        <v>5</v>
      </c>
      <c r="G6" s="227">
        <f>'BC Pay-ins EMEA'!D34</f>
        <v>4</v>
      </c>
      <c r="H6" s="227">
        <f>'BC Pay-ins EMEA'!E34</f>
        <v>4</v>
      </c>
      <c r="I6" s="227">
        <f>'BC Pay-ins EMEA'!F34</f>
        <v>3</v>
      </c>
      <c r="J6" s="227">
        <f>'BC Pay-ins EMEA'!G34</f>
        <v>3</v>
      </c>
      <c r="L6" s="229">
        <f t="shared" si="1"/>
        <v>19</v>
      </c>
      <c r="M6" s="133"/>
      <c r="N6" s="96"/>
      <c r="O6" s="68"/>
      <c r="P6" s="68"/>
      <c r="Q6" s="68"/>
    </row>
    <row r="7">
      <c r="A7" s="68"/>
      <c r="B7" s="68"/>
      <c r="C7" s="68"/>
      <c r="D7" s="133"/>
      <c r="E7" s="197" t="s">
        <v>382</v>
      </c>
      <c r="F7" s="230">
        <f t="shared" ref="F7:J7" si="2">$C$11</f>
        <v>3</v>
      </c>
      <c r="G7" s="230">
        <f t="shared" si="2"/>
        <v>3</v>
      </c>
      <c r="H7" s="230">
        <f t="shared" si="2"/>
        <v>3</v>
      </c>
      <c r="I7" s="230">
        <f t="shared" si="2"/>
        <v>3</v>
      </c>
      <c r="J7" s="230">
        <f t="shared" si="2"/>
        <v>3</v>
      </c>
      <c r="L7" s="231">
        <v>3.0</v>
      </c>
      <c r="M7" s="133"/>
      <c r="N7" s="96"/>
      <c r="O7" s="68"/>
      <c r="P7" s="68"/>
      <c r="Q7" s="68"/>
    </row>
    <row r="8">
      <c r="A8" s="68"/>
      <c r="B8" s="232"/>
      <c r="C8" s="233"/>
      <c r="D8" s="133"/>
      <c r="E8" s="170" t="s">
        <v>383</v>
      </c>
      <c r="F8" s="234">
        <f t="shared" ref="F8:J8" si="3">F7*F6</f>
        <v>15</v>
      </c>
      <c r="G8" s="234">
        <f t="shared" si="3"/>
        <v>12</v>
      </c>
      <c r="H8" s="234">
        <f t="shared" si="3"/>
        <v>12</v>
      </c>
      <c r="I8" s="234">
        <f t="shared" si="3"/>
        <v>9</v>
      </c>
      <c r="J8" s="234">
        <f t="shared" si="3"/>
        <v>9</v>
      </c>
      <c r="K8" s="235"/>
      <c r="L8" s="236">
        <f>SUM(F8:J8)</f>
        <v>57</v>
      </c>
      <c r="M8" s="133"/>
      <c r="N8" s="96"/>
      <c r="O8" s="68"/>
      <c r="P8" s="68"/>
      <c r="Q8" s="68"/>
    </row>
    <row r="9">
      <c r="A9" s="68"/>
      <c r="B9" s="237" t="s">
        <v>292</v>
      </c>
      <c r="C9" s="238"/>
      <c r="D9" s="133"/>
      <c r="E9" s="166" t="s">
        <v>384</v>
      </c>
      <c r="F9" s="235"/>
      <c r="G9" s="235"/>
      <c r="H9" s="235"/>
      <c r="I9" s="235"/>
      <c r="J9" s="235"/>
      <c r="K9" s="239">
        <f>SUM(K10:K16)</f>
        <v>21600</v>
      </c>
      <c r="L9" s="240"/>
      <c r="M9" s="241">
        <f>SUM(M10:M16)</f>
        <v>1231200</v>
      </c>
      <c r="N9" s="242" t="s">
        <v>20</v>
      </c>
      <c r="P9" s="68"/>
    </row>
    <row r="10" outlineLevel="1">
      <c r="A10" s="68"/>
      <c r="B10" s="243" t="s">
        <v>385</v>
      </c>
      <c r="C10" s="243" t="s">
        <v>386</v>
      </c>
      <c r="D10" s="133"/>
      <c r="E10" s="244" t="s">
        <v>387</v>
      </c>
      <c r="F10" s="245" t="s">
        <v>388</v>
      </c>
      <c r="G10" s="245" t="s">
        <v>388</v>
      </c>
      <c r="H10" s="245" t="s">
        <v>388</v>
      </c>
      <c r="I10" s="245" t="s">
        <v>388</v>
      </c>
      <c r="J10" s="245" t="s">
        <v>388</v>
      </c>
      <c r="K10" s="246">
        <v>2250.0</v>
      </c>
      <c r="L10" s="246">
        <f>$K$10*$L$7</f>
        <v>6750</v>
      </c>
      <c r="M10" s="247">
        <f t="shared" ref="M10:M16" si="4">L10*$L$6</f>
        <v>128250</v>
      </c>
      <c r="N10" s="96"/>
    </row>
    <row r="11" outlineLevel="1">
      <c r="A11" s="68"/>
      <c r="B11" s="248" t="s">
        <v>433</v>
      </c>
      <c r="C11" s="249">
        <v>3.0</v>
      </c>
      <c r="D11" s="133"/>
      <c r="E11" s="244" t="s">
        <v>390</v>
      </c>
      <c r="F11" s="245" t="s">
        <v>388</v>
      </c>
      <c r="G11" s="245" t="s">
        <v>388</v>
      </c>
      <c r="H11" s="245" t="s">
        <v>388</v>
      </c>
      <c r="I11" s="245" t="s">
        <v>388</v>
      </c>
      <c r="J11" s="245" t="s">
        <v>388</v>
      </c>
      <c r="K11" s="246">
        <v>10500.0</v>
      </c>
      <c r="L11" s="246">
        <f>$K$11*$L$7</f>
        <v>31500</v>
      </c>
      <c r="M11" s="247">
        <f t="shared" si="4"/>
        <v>598500</v>
      </c>
      <c r="N11" s="96"/>
    </row>
    <row r="12" outlineLevel="1">
      <c r="A12" s="68"/>
      <c r="B12" s="117" t="s">
        <v>391</v>
      </c>
      <c r="C12" s="250">
        <v>4.0</v>
      </c>
      <c r="D12" s="133"/>
      <c r="E12" s="244" t="s">
        <v>392</v>
      </c>
      <c r="F12" s="245" t="s">
        <v>388</v>
      </c>
      <c r="G12" s="245" t="s">
        <v>388</v>
      </c>
      <c r="H12" s="245" t="s">
        <v>388</v>
      </c>
      <c r="I12" s="245" t="s">
        <v>388</v>
      </c>
      <c r="J12" s="245" t="s">
        <v>388</v>
      </c>
      <c r="K12" s="246">
        <v>2250.0</v>
      </c>
      <c r="L12" s="246">
        <f>$K$12*$L$7</f>
        <v>6750</v>
      </c>
      <c r="M12" s="247">
        <f t="shared" si="4"/>
        <v>128250</v>
      </c>
      <c r="N12" s="96"/>
    </row>
    <row r="13" outlineLevel="1">
      <c r="A13" s="68"/>
      <c r="B13" s="243"/>
      <c r="C13" s="251"/>
      <c r="D13" s="133"/>
      <c r="E13" s="244" t="s">
        <v>393</v>
      </c>
      <c r="F13" s="245" t="s">
        <v>388</v>
      </c>
      <c r="G13" s="245" t="s">
        <v>388</v>
      </c>
      <c r="H13" s="245" t="s">
        <v>388</v>
      </c>
      <c r="I13" s="245" t="s">
        <v>388</v>
      </c>
      <c r="J13" s="245" t="s">
        <v>388</v>
      </c>
      <c r="K13" s="246">
        <v>1350.0</v>
      </c>
      <c r="L13" s="246">
        <f>$K$13*$L$7</f>
        <v>4050</v>
      </c>
      <c r="M13" s="247">
        <f t="shared" si="4"/>
        <v>76950</v>
      </c>
      <c r="N13" s="96"/>
    </row>
    <row r="14" outlineLevel="1">
      <c r="A14" s="68"/>
      <c r="B14" s="103" t="s">
        <v>14</v>
      </c>
      <c r="C14" s="104" t="s">
        <v>13</v>
      </c>
      <c r="D14" s="133"/>
      <c r="E14" s="244" t="s">
        <v>394</v>
      </c>
      <c r="F14" s="245" t="s">
        <v>388</v>
      </c>
      <c r="G14" s="245" t="s">
        <v>388</v>
      </c>
      <c r="H14" s="245" t="s">
        <v>388</v>
      </c>
      <c r="I14" s="245" t="s">
        <v>388</v>
      </c>
      <c r="J14" s="245" t="s">
        <v>388</v>
      </c>
      <c r="K14" s="246">
        <v>1500.0</v>
      </c>
      <c r="L14" s="246">
        <f>$K$14*$L$7</f>
        <v>4500</v>
      </c>
      <c r="M14" s="247">
        <f t="shared" si="4"/>
        <v>85500</v>
      </c>
      <c r="N14" s="96"/>
    </row>
    <row r="15" outlineLevel="1">
      <c r="A15" s="68"/>
      <c r="B15" s="106" t="s">
        <v>16</v>
      </c>
      <c r="C15" s="252" t="s">
        <v>15</v>
      </c>
      <c r="D15" s="133"/>
      <c r="E15" s="244" t="s">
        <v>395</v>
      </c>
      <c r="F15" s="245" t="s">
        <v>388</v>
      </c>
      <c r="G15" s="245" t="s">
        <v>388</v>
      </c>
      <c r="H15" s="245" t="s">
        <v>388</v>
      </c>
      <c r="I15" s="245" t="s">
        <v>388</v>
      </c>
      <c r="J15" s="245" t="s">
        <v>388</v>
      </c>
      <c r="K15" s="246">
        <v>1125.0</v>
      </c>
      <c r="L15" s="246">
        <f>$K$15*$L$7</f>
        <v>3375</v>
      </c>
      <c r="M15" s="247">
        <f t="shared" si="4"/>
        <v>64125</v>
      </c>
      <c r="N15" s="96"/>
    </row>
    <row r="16" outlineLevel="1">
      <c r="A16" s="68"/>
      <c r="B16" s="109" t="s">
        <v>18</v>
      </c>
      <c r="C16" s="253" t="s">
        <v>396</v>
      </c>
      <c r="D16" s="133"/>
      <c r="E16" s="254" t="s">
        <v>397</v>
      </c>
      <c r="F16" s="245" t="s">
        <v>388</v>
      </c>
      <c r="G16" s="245" t="s">
        <v>388</v>
      </c>
      <c r="H16" s="245" t="s">
        <v>388</v>
      </c>
      <c r="I16" s="245" t="s">
        <v>388</v>
      </c>
      <c r="J16" s="245" t="s">
        <v>388</v>
      </c>
      <c r="K16" s="255">
        <v>2625.0</v>
      </c>
      <c r="L16" s="246">
        <f>$K$16*$L$7</f>
        <v>7875</v>
      </c>
      <c r="M16" s="256">
        <f t="shared" si="4"/>
        <v>149625</v>
      </c>
      <c r="N16" s="96"/>
      <c r="O16" s="68"/>
      <c r="P16" s="68"/>
      <c r="Q16" s="68"/>
    </row>
    <row r="17" outlineLevel="1">
      <c r="A17" s="68"/>
      <c r="B17" s="111" t="s">
        <v>20</v>
      </c>
      <c r="C17" s="112" t="s">
        <v>301</v>
      </c>
      <c r="D17" s="133"/>
      <c r="E17" s="257"/>
      <c r="F17" s="258"/>
      <c r="G17" s="258"/>
      <c r="H17" s="258"/>
      <c r="I17" s="258"/>
      <c r="J17" s="258"/>
      <c r="K17" s="259"/>
      <c r="L17" s="259"/>
      <c r="M17" s="133"/>
      <c r="N17" s="96"/>
      <c r="O17" s="68"/>
      <c r="P17" s="68"/>
      <c r="Q17" s="68"/>
    </row>
    <row r="18">
      <c r="A18" s="68"/>
      <c r="D18" s="128"/>
      <c r="E18" s="223" t="s">
        <v>337</v>
      </c>
      <c r="F18" s="260"/>
      <c r="G18" s="260"/>
      <c r="H18" s="260"/>
      <c r="I18" s="260"/>
      <c r="J18" s="260"/>
      <c r="K18" s="223"/>
      <c r="L18" s="223"/>
      <c r="M18" s="223"/>
      <c r="N18" s="68"/>
      <c r="O18" s="68"/>
      <c r="P18" s="68"/>
      <c r="Q18" s="68"/>
    </row>
    <row r="19">
      <c r="A19" s="68"/>
      <c r="B19" s="261"/>
      <c r="C19" s="262"/>
      <c r="D19" s="128"/>
      <c r="E19" s="179" t="s">
        <v>342</v>
      </c>
      <c r="F19" s="263" t="str">
        <f>'BC Pay-ins EMEA'!C23</f>
        <v>No</v>
      </c>
      <c r="G19" s="263" t="str">
        <f>'BC Pay-ins EMEA'!D23</f>
        <v>No</v>
      </c>
      <c r="H19" s="263" t="str">
        <f>'BC Pay-ins EMEA'!E23</f>
        <v>Yes</v>
      </c>
      <c r="I19" s="263" t="str">
        <f>'BC Pay-ins EMEA'!F23</f>
        <v>No</v>
      </c>
      <c r="J19" s="263" t="str">
        <f>'BC Pay-ins EMEA'!G23</f>
        <v>No</v>
      </c>
      <c r="L19" s="264"/>
      <c r="M19" s="133"/>
      <c r="N19" s="68"/>
      <c r="O19" s="68"/>
      <c r="P19" s="68"/>
      <c r="Q19" s="68"/>
    </row>
    <row r="20">
      <c r="A20" s="68"/>
      <c r="B20" s="117"/>
      <c r="C20" s="176"/>
      <c r="D20" s="128"/>
      <c r="E20" s="198" t="s">
        <v>398</v>
      </c>
      <c r="F20" s="265" t="str">
        <f t="shared" ref="F20:J20" si="5">if(F19="Yes","No","Yes")</f>
        <v>Yes</v>
      </c>
      <c r="G20" s="265" t="str">
        <f t="shared" si="5"/>
        <v>Yes</v>
      </c>
      <c r="H20" s="265" t="str">
        <f t="shared" si="5"/>
        <v>No</v>
      </c>
      <c r="I20" s="265" t="str">
        <f t="shared" si="5"/>
        <v>Yes</v>
      </c>
      <c r="J20" s="265" t="str">
        <f t="shared" si="5"/>
        <v>Yes</v>
      </c>
      <c r="L20" s="264"/>
      <c r="M20" s="133"/>
      <c r="N20" s="68"/>
      <c r="O20" s="68"/>
      <c r="P20" s="68"/>
      <c r="Q20" s="68"/>
    </row>
    <row r="21">
      <c r="A21" s="68"/>
      <c r="B21" s="117"/>
      <c r="C21" s="176"/>
      <c r="D21" s="128"/>
      <c r="E21" s="198" t="s">
        <v>399</v>
      </c>
      <c r="F21" s="266">
        <f t="shared" ref="F21:J21" si="6">if(F19="yes",1,2)</f>
        <v>2</v>
      </c>
      <c r="G21" s="266">
        <f t="shared" si="6"/>
        <v>2</v>
      </c>
      <c r="H21" s="266">
        <f t="shared" si="6"/>
        <v>1</v>
      </c>
      <c r="I21" s="266">
        <f t="shared" si="6"/>
        <v>2</v>
      </c>
      <c r="J21" s="266">
        <f t="shared" si="6"/>
        <v>2</v>
      </c>
      <c r="L21" s="264">
        <f>SUM(F21:J21)</f>
        <v>9</v>
      </c>
      <c r="M21" s="68"/>
      <c r="N21" s="68"/>
      <c r="O21" s="68"/>
      <c r="P21" s="68"/>
      <c r="Q21" s="68"/>
    </row>
    <row r="22">
      <c r="A22" s="68"/>
      <c r="B22" s="117"/>
      <c r="C22" s="176"/>
      <c r="D22" s="128"/>
      <c r="E22" s="197" t="s">
        <v>400</v>
      </c>
      <c r="F22" s="230">
        <f t="shared" ref="F22:J22" si="7">$C$12</f>
        <v>4</v>
      </c>
      <c r="G22" s="230">
        <f t="shared" si="7"/>
        <v>4</v>
      </c>
      <c r="H22" s="230">
        <f t="shared" si="7"/>
        <v>4</v>
      </c>
      <c r="I22" s="230">
        <f t="shared" si="7"/>
        <v>4</v>
      </c>
      <c r="J22" s="230">
        <f t="shared" si="7"/>
        <v>4</v>
      </c>
      <c r="L22" s="245">
        <v>4.0</v>
      </c>
      <c r="M22" s="68"/>
      <c r="N22" s="68"/>
      <c r="O22" s="68"/>
      <c r="P22" s="68"/>
      <c r="Q22" s="68"/>
    </row>
    <row r="23">
      <c r="A23" s="68"/>
      <c r="B23" s="117"/>
      <c r="C23" s="176"/>
      <c r="D23" s="128"/>
      <c r="E23" s="170" t="s">
        <v>383</v>
      </c>
      <c r="F23" s="234">
        <f t="shared" ref="F23:J23" si="8">F22*F21</f>
        <v>8</v>
      </c>
      <c r="G23" s="234">
        <f t="shared" si="8"/>
        <v>8</v>
      </c>
      <c r="H23" s="234">
        <f t="shared" si="8"/>
        <v>4</v>
      </c>
      <c r="I23" s="234">
        <f t="shared" si="8"/>
        <v>8</v>
      </c>
      <c r="J23" s="234">
        <f t="shared" si="8"/>
        <v>8</v>
      </c>
      <c r="K23" s="235"/>
      <c r="L23" s="267">
        <f>SUM(F23:J23)</f>
        <v>36</v>
      </c>
      <c r="M23" s="176"/>
      <c r="N23" s="68"/>
      <c r="O23" s="68"/>
      <c r="P23" s="68"/>
      <c r="Q23" s="68"/>
    </row>
    <row r="24">
      <c r="A24" s="68"/>
      <c r="B24" s="117"/>
      <c r="C24" s="176"/>
      <c r="D24" s="128"/>
      <c r="E24" s="166" t="s">
        <v>401</v>
      </c>
      <c r="F24" s="235"/>
      <c r="G24" s="235"/>
      <c r="H24" s="235"/>
      <c r="I24" s="235"/>
      <c r="J24" s="235"/>
      <c r="K24" s="268">
        <f>SUM(K25:K31)</f>
        <v>21600</v>
      </c>
      <c r="L24" s="240">
        <f>$K$24*$L$22</f>
        <v>86400</v>
      </c>
      <c r="M24" s="269">
        <f>L24*L22</f>
        <v>345600</v>
      </c>
      <c r="N24" s="242" t="s">
        <v>20</v>
      </c>
      <c r="O24" s="68"/>
      <c r="P24" s="68"/>
      <c r="Q24" s="68"/>
    </row>
    <row r="25" outlineLevel="1">
      <c r="A25" s="68"/>
      <c r="B25" s="117"/>
      <c r="C25" s="176"/>
      <c r="D25" s="128"/>
      <c r="E25" s="245" t="s">
        <v>387</v>
      </c>
      <c r="F25" s="245" t="s">
        <v>388</v>
      </c>
      <c r="G25" s="245" t="s">
        <v>388</v>
      </c>
      <c r="H25" s="245" t="s">
        <v>388</v>
      </c>
      <c r="I25" s="245" t="s">
        <v>388</v>
      </c>
      <c r="J25" s="245" t="s">
        <v>388</v>
      </c>
      <c r="K25" s="270">
        <v>2250.0</v>
      </c>
      <c r="L25" s="270">
        <f>$K$25*$L$22</f>
        <v>9000</v>
      </c>
      <c r="M25" s="176">
        <f>$L$25*$L$21</f>
        <v>81000</v>
      </c>
      <c r="N25" s="68"/>
      <c r="O25" s="68"/>
      <c r="P25" s="68"/>
      <c r="Q25" s="68"/>
    </row>
    <row r="26" outlineLevel="1">
      <c r="A26" s="68"/>
      <c r="B26" s="117"/>
      <c r="C26" s="176"/>
      <c r="D26" s="128"/>
      <c r="E26" s="245" t="s">
        <v>390</v>
      </c>
      <c r="F26" s="245" t="s">
        <v>388</v>
      </c>
      <c r="G26" s="245" t="s">
        <v>388</v>
      </c>
      <c r="H26" s="245" t="s">
        <v>388</v>
      </c>
      <c r="I26" s="245" t="s">
        <v>388</v>
      </c>
      <c r="J26" s="245" t="s">
        <v>388</v>
      </c>
      <c r="K26" s="270">
        <v>10500.0</v>
      </c>
      <c r="L26" s="270">
        <f>$K$26*$L$22</f>
        <v>42000</v>
      </c>
      <c r="M26" s="176">
        <f>$L$26*$L$21</f>
        <v>378000</v>
      </c>
      <c r="N26" s="68"/>
      <c r="O26" s="68"/>
      <c r="P26" s="68"/>
      <c r="Q26" s="68"/>
    </row>
    <row r="27" outlineLevel="1">
      <c r="A27" s="68"/>
      <c r="B27" s="117"/>
      <c r="C27" s="176"/>
      <c r="D27" s="128"/>
      <c r="E27" s="245" t="s">
        <v>392</v>
      </c>
      <c r="F27" s="245" t="s">
        <v>388</v>
      </c>
      <c r="G27" s="245" t="s">
        <v>388</v>
      </c>
      <c r="H27" s="245" t="s">
        <v>388</v>
      </c>
      <c r="I27" s="245" t="s">
        <v>388</v>
      </c>
      <c r="J27" s="245" t="s">
        <v>388</v>
      </c>
      <c r="K27" s="270">
        <v>2250.0</v>
      </c>
      <c r="L27" s="270">
        <f>$K$27*$L$22</f>
        <v>9000</v>
      </c>
      <c r="M27" s="176">
        <f>$L$27*$L$21</f>
        <v>81000</v>
      </c>
      <c r="N27" s="68"/>
      <c r="O27" s="68"/>
      <c r="P27" s="68"/>
      <c r="Q27" s="68"/>
    </row>
    <row r="28" outlineLevel="1">
      <c r="A28" s="68"/>
      <c r="B28" s="117"/>
      <c r="C28" s="176"/>
      <c r="D28" s="71"/>
      <c r="E28" s="245" t="s">
        <v>393</v>
      </c>
      <c r="F28" s="245" t="s">
        <v>388</v>
      </c>
      <c r="G28" s="245" t="s">
        <v>388</v>
      </c>
      <c r="H28" s="245" t="s">
        <v>388</v>
      </c>
      <c r="I28" s="245" t="s">
        <v>388</v>
      </c>
      <c r="J28" s="245" t="s">
        <v>388</v>
      </c>
      <c r="K28" s="270">
        <v>1350.0</v>
      </c>
      <c r="L28" s="270">
        <f>$K$28*$L$22</f>
        <v>5400</v>
      </c>
      <c r="M28" s="176">
        <f>$L$28*$L$21</f>
        <v>48600</v>
      </c>
      <c r="N28" s="68"/>
      <c r="O28" s="68"/>
      <c r="P28" s="68"/>
      <c r="Q28" s="68"/>
    </row>
    <row r="29" outlineLevel="1">
      <c r="A29" s="68"/>
      <c r="B29" s="117"/>
      <c r="C29" s="176"/>
      <c r="D29" s="128"/>
      <c r="E29" s="245" t="s">
        <v>394</v>
      </c>
      <c r="F29" s="245" t="s">
        <v>388</v>
      </c>
      <c r="G29" s="245" t="s">
        <v>388</v>
      </c>
      <c r="H29" s="245" t="s">
        <v>388</v>
      </c>
      <c r="I29" s="245" t="s">
        <v>388</v>
      </c>
      <c r="J29" s="245" t="s">
        <v>388</v>
      </c>
      <c r="K29" s="270">
        <v>1500.0</v>
      </c>
      <c r="L29" s="270">
        <f>$K$29*$L$22</f>
        <v>6000</v>
      </c>
      <c r="M29" s="176">
        <f>$L$29*$L$21</f>
        <v>54000</v>
      </c>
      <c r="N29" s="68"/>
      <c r="O29" s="68"/>
      <c r="P29" s="68"/>
      <c r="Q29" s="68"/>
    </row>
    <row r="30" outlineLevel="1">
      <c r="A30" s="68"/>
      <c r="B30" s="117"/>
      <c r="C30" s="176"/>
      <c r="D30" s="128"/>
      <c r="E30" s="245" t="s">
        <v>395</v>
      </c>
      <c r="F30" s="245" t="s">
        <v>388</v>
      </c>
      <c r="G30" s="245" t="s">
        <v>388</v>
      </c>
      <c r="H30" s="245" t="s">
        <v>388</v>
      </c>
      <c r="I30" s="245" t="s">
        <v>388</v>
      </c>
      <c r="J30" s="245" t="s">
        <v>388</v>
      </c>
      <c r="K30" s="270">
        <v>1125.0</v>
      </c>
      <c r="L30" s="270">
        <f>$K$30*$L$22</f>
        <v>4500</v>
      </c>
      <c r="M30" s="176">
        <f>$L$30*$L$21</f>
        <v>40500</v>
      </c>
      <c r="N30" s="68"/>
      <c r="O30" s="68"/>
      <c r="P30" s="68"/>
      <c r="Q30" s="68"/>
    </row>
    <row r="31" outlineLevel="1">
      <c r="A31" s="68"/>
      <c r="B31" s="117"/>
      <c r="C31" s="176"/>
      <c r="D31" s="128"/>
      <c r="E31" s="271" t="s">
        <v>397</v>
      </c>
      <c r="F31" s="271" t="s">
        <v>388</v>
      </c>
      <c r="G31" s="271" t="s">
        <v>388</v>
      </c>
      <c r="H31" s="271" t="s">
        <v>388</v>
      </c>
      <c r="I31" s="271" t="s">
        <v>388</v>
      </c>
      <c r="J31" s="271" t="s">
        <v>388</v>
      </c>
      <c r="K31" s="272">
        <v>2625.0</v>
      </c>
      <c r="L31" s="270">
        <f>$K$31*$L$22</f>
        <v>10500</v>
      </c>
      <c r="M31" s="176">
        <f>$L$31*$L$21</f>
        <v>94500</v>
      </c>
      <c r="N31" s="68"/>
      <c r="O31" s="68"/>
      <c r="P31" s="68"/>
      <c r="Q31" s="68"/>
    </row>
    <row r="32">
      <c r="A32" s="68"/>
      <c r="B32" s="117"/>
      <c r="C32" s="176"/>
      <c r="D32" s="128"/>
      <c r="E32" s="271"/>
      <c r="F32" s="271"/>
      <c r="G32" s="271"/>
      <c r="H32" s="271"/>
      <c r="I32" s="245"/>
      <c r="J32" s="245"/>
      <c r="K32" s="245"/>
      <c r="L32" s="245"/>
      <c r="M32" s="176"/>
      <c r="N32" s="68"/>
      <c r="O32" s="68"/>
      <c r="P32" s="68"/>
      <c r="Q32" s="68"/>
    </row>
    <row r="33">
      <c r="A33" s="68"/>
      <c r="B33" s="117"/>
      <c r="C33" s="176"/>
      <c r="D33" s="128"/>
      <c r="E33" s="273" t="s">
        <v>402</v>
      </c>
      <c r="F33" s="274" t="s">
        <v>353</v>
      </c>
      <c r="G33" s="274" t="s">
        <v>403</v>
      </c>
      <c r="H33" s="275" t="s">
        <v>404</v>
      </c>
      <c r="J33" s="273" t="s">
        <v>405</v>
      </c>
      <c r="K33" s="273"/>
      <c r="N33" s="68"/>
      <c r="O33" s="68"/>
      <c r="P33" s="68"/>
      <c r="Q33" s="68"/>
    </row>
    <row r="34">
      <c r="A34" s="68"/>
      <c r="B34" s="117"/>
      <c r="C34" s="176"/>
      <c r="D34" s="128"/>
      <c r="E34" s="245" t="s">
        <v>387</v>
      </c>
      <c r="F34" s="270">
        <f t="shared" ref="F34:F40" si="9">M10</f>
        <v>128250</v>
      </c>
      <c r="G34" s="270">
        <f t="shared" ref="G34:G40" si="10">M25</f>
        <v>81000</v>
      </c>
      <c r="H34" s="276">
        <f t="shared" ref="H34:H40" si="11">SUM(F34:G34)</f>
        <v>209250</v>
      </c>
      <c r="I34" s="277" t="s">
        <v>20</v>
      </c>
      <c r="J34" s="170" t="s">
        <v>386</v>
      </c>
      <c r="K34" s="278">
        <f>($L$6*$L$7)+($L$21*$L$22)</f>
        <v>93</v>
      </c>
      <c r="L34" s="279"/>
      <c r="N34" s="68"/>
      <c r="O34" s="68"/>
      <c r="P34" s="68"/>
      <c r="Q34" s="68"/>
    </row>
    <row r="35">
      <c r="A35" s="68"/>
      <c r="B35" s="117"/>
      <c r="C35" s="176"/>
      <c r="D35" s="128"/>
      <c r="E35" s="245" t="s">
        <v>390</v>
      </c>
      <c r="F35" s="270">
        <f t="shared" si="9"/>
        <v>598500</v>
      </c>
      <c r="G35" s="270">
        <f t="shared" si="10"/>
        <v>378000</v>
      </c>
      <c r="H35" s="276">
        <f t="shared" si="11"/>
        <v>976500</v>
      </c>
      <c r="I35" s="277" t="s">
        <v>20</v>
      </c>
      <c r="J35" s="170" t="s">
        <v>406</v>
      </c>
      <c r="K35" s="280">
        <f>round(K34/12,0)</f>
        <v>8</v>
      </c>
      <c r="L35" s="279"/>
      <c r="N35" s="68"/>
      <c r="O35" s="68"/>
      <c r="P35" s="68"/>
      <c r="Q35" s="68"/>
    </row>
    <row r="36">
      <c r="A36" s="68"/>
      <c r="B36" s="117"/>
      <c r="C36" s="176"/>
      <c r="D36" s="128"/>
      <c r="E36" s="245" t="s">
        <v>392</v>
      </c>
      <c r="F36" s="270">
        <f t="shared" si="9"/>
        <v>128250</v>
      </c>
      <c r="G36" s="270">
        <f t="shared" si="10"/>
        <v>81000</v>
      </c>
      <c r="H36" s="276">
        <f t="shared" si="11"/>
        <v>209250</v>
      </c>
      <c r="I36" s="277" t="s">
        <v>20</v>
      </c>
      <c r="J36" s="281" t="s">
        <v>407</v>
      </c>
      <c r="K36" s="279"/>
      <c r="L36" s="279"/>
      <c r="N36" s="68"/>
      <c r="O36" s="68"/>
      <c r="P36" s="68"/>
      <c r="Q36" s="68"/>
    </row>
    <row r="37">
      <c r="A37" s="68"/>
      <c r="B37" s="117"/>
      <c r="C37" s="176"/>
      <c r="D37" s="128"/>
      <c r="E37" s="245" t="s">
        <v>393</v>
      </c>
      <c r="F37" s="270">
        <f t="shared" si="9"/>
        <v>76950</v>
      </c>
      <c r="G37" s="270">
        <f t="shared" si="10"/>
        <v>48600</v>
      </c>
      <c r="H37" s="276">
        <f t="shared" si="11"/>
        <v>125550</v>
      </c>
      <c r="I37" s="277" t="s">
        <v>20</v>
      </c>
      <c r="J37" s="170" t="s">
        <v>386</v>
      </c>
      <c r="K37" s="51">
        <v>2.0</v>
      </c>
      <c r="L37" s="279"/>
      <c r="N37" s="68"/>
      <c r="O37" s="68"/>
      <c r="P37" s="68"/>
      <c r="Q37" s="68"/>
    </row>
    <row r="38">
      <c r="A38" s="68"/>
      <c r="B38" s="117"/>
      <c r="C38" s="176"/>
      <c r="D38" s="128"/>
      <c r="E38" s="245" t="s">
        <v>394</v>
      </c>
      <c r="F38" s="270">
        <f t="shared" si="9"/>
        <v>85500</v>
      </c>
      <c r="G38" s="270">
        <f t="shared" si="10"/>
        <v>54000</v>
      </c>
      <c r="H38" s="276">
        <f t="shared" si="11"/>
        <v>139500</v>
      </c>
      <c r="I38" s="277" t="s">
        <v>20</v>
      </c>
      <c r="J38" s="282" t="s">
        <v>408</v>
      </c>
      <c r="K38" s="283">
        <f>K34-K37</f>
        <v>91</v>
      </c>
      <c r="L38" s="279"/>
      <c r="N38" s="68"/>
      <c r="O38" s="68"/>
      <c r="P38" s="68"/>
      <c r="Q38" s="68"/>
    </row>
    <row r="39">
      <c r="A39" s="68"/>
      <c r="B39" s="117"/>
      <c r="C39" s="176"/>
      <c r="D39" s="128"/>
      <c r="E39" s="245" t="s">
        <v>395</v>
      </c>
      <c r="F39" s="270">
        <f t="shared" si="9"/>
        <v>64125</v>
      </c>
      <c r="G39" s="270">
        <f t="shared" si="10"/>
        <v>40500</v>
      </c>
      <c r="H39" s="276">
        <f t="shared" si="11"/>
        <v>104625</v>
      </c>
      <c r="I39" s="277" t="s">
        <v>20</v>
      </c>
      <c r="L39" s="279"/>
      <c r="N39" s="68"/>
      <c r="O39" s="68"/>
      <c r="P39" s="68"/>
      <c r="Q39" s="68"/>
    </row>
    <row r="40">
      <c r="A40" s="68"/>
      <c r="B40" s="117"/>
      <c r="C40" s="176"/>
      <c r="D40" s="128"/>
      <c r="E40" s="271" t="s">
        <v>397</v>
      </c>
      <c r="F40" s="270">
        <f t="shared" si="9"/>
        <v>149625</v>
      </c>
      <c r="G40" s="270">
        <f t="shared" si="10"/>
        <v>94500</v>
      </c>
      <c r="H40" s="276">
        <f t="shared" si="11"/>
        <v>244125</v>
      </c>
      <c r="I40" s="277" t="s">
        <v>20</v>
      </c>
      <c r="J40" s="284" t="s">
        <v>409</v>
      </c>
      <c r="K40" s="285">
        <f>K38</f>
        <v>91</v>
      </c>
      <c r="L40" s="242" t="s">
        <v>20</v>
      </c>
      <c r="N40" s="68"/>
      <c r="O40" s="68"/>
      <c r="P40" s="68"/>
      <c r="Q40" s="68"/>
    </row>
    <row r="41">
      <c r="A41" s="68"/>
      <c r="B41" s="117"/>
      <c r="C41" s="176"/>
      <c r="D41" s="128"/>
      <c r="E41" s="273" t="s">
        <v>402</v>
      </c>
      <c r="F41" s="274">
        <f t="shared" ref="F41:G41" si="12">SUM(F34:F40)</f>
        <v>1231200</v>
      </c>
      <c r="G41" s="274">
        <f t="shared" si="12"/>
        <v>777600</v>
      </c>
      <c r="H41" s="286">
        <f>SUM(H34:H40)/1000000</f>
        <v>2.0088</v>
      </c>
      <c r="I41" s="277" t="s">
        <v>20</v>
      </c>
      <c r="J41" s="284" t="s">
        <v>410</v>
      </c>
      <c r="K41" s="278" t="str">
        <f>CONCATENATE(ROUNDUP(K42,2)," ","years")</f>
        <v>7.59 years</v>
      </c>
      <c r="L41" s="242" t="s">
        <v>20</v>
      </c>
      <c r="N41" s="68"/>
      <c r="O41" s="68"/>
      <c r="P41" s="68"/>
      <c r="Q41" s="68"/>
    </row>
    <row r="42">
      <c r="A42" s="68"/>
      <c r="B42" s="117"/>
      <c r="C42" s="176"/>
      <c r="D42" s="128"/>
      <c r="K42" s="287">
        <f>K40/12</f>
        <v>7.583333333</v>
      </c>
      <c r="L42" s="264"/>
      <c r="M42" s="176"/>
      <c r="N42" s="68"/>
      <c r="O42" s="68"/>
      <c r="P42" s="68"/>
      <c r="Q42" s="68"/>
    </row>
    <row r="43">
      <c r="A43" s="68"/>
      <c r="B43" s="117"/>
      <c r="C43" s="176"/>
      <c r="D43" s="128"/>
      <c r="K43" s="264"/>
      <c r="L43" s="264"/>
      <c r="M43" s="176"/>
      <c r="N43" s="68"/>
      <c r="O43" s="68"/>
      <c r="P43" s="68"/>
      <c r="Q43" s="68"/>
    </row>
    <row r="44">
      <c r="A44" s="68"/>
      <c r="B44" s="117"/>
      <c r="C44" s="176"/>
      <c r="D44" s="128"/>
      <c r="K44" s="264"/>
      <c r="L44" s="264"/>
      <c r="M44" s="176"/>
      <c r="N44" s="68"/>
      <c r="O44" s="68"/>
      <c r="P44" s="68"/>
      <c r="Q44" s="68"/>
    </row>
    <row r="45">
      <c r="A45" s="68"/>
      <c r="B45" s="117"/>
      <c r="C45" s="176"/>
      <c r="D45" s="128"/>
      <c r="K45" s="264"/>
      <c r="L45" s="264"/>
      <c r="M45" s="176"/>
      <c r="N45" s="68"/>
      <c r="O45" s="68"/>
      <c r="P45" s="68"/>
      <c r="Q45" s="68"/>
    </row>
    <row r="46">
      <c r="A46" s="68"/>
      <c r="B46" s="117"/>
      <c r="C46" s="176"/>
      <c r="D46" s="128"/>
      <c r="E46" s="68"/>
      <c r="F46" s="175"/>
      <c r="G46" s="175"/>
      <c r="H46" s="175"/>
      <c r="I46" s="175"/>
      <c r="J46" s="175"/>
      <c r="K46" s="264"/>
      <c r="L46" s="264"/>
      <c r="M46" s="176"/>
      <c r="N46" s="68"/>
      <c r="O46" s="68"/>
      <c r="P46" s="68"/>
      <c r="Q46" s="68"/>
    </row>
    <row r="47">
      <c r="A47" s="68"/>
      <c r="B47" s="117"/>
      <c r="C47" s="176"/>
      <c r="D47" s="128"/>
      <c r="E47" s="68"/>
      <c r="F47" s="175"/>
      <c r="G47" s="175"/>
      <c r="H47" s="175"/>
      <c r="I47" s="175"/>
      <c r="J47" s="175"/>
      <c r="K47" s="264"/>
      <c r="L47" s="264"/>
      <c r="M47" s="176"/>
      <c r="N47" s="68"/>
      <c r="O47" s="68"/>
      <c r="P47" s="68"/>
      <c r="Q47" s="68"/>
    </row>
    <row r="48">
      <c r="A48" s="68"/>
      <c r="B48" s="117"/>
      <c r="C48" s="176"/>
      <c r="D48" s="128"/>
      <c r="E48" s="216"/>
      <c r="F48" s="217"/>
      <c r="G48" s="217"/>
      <c r="H48" s="217"/>
      <c r="I48" s="217"/>
      <c r="J48" s="217"/>
      <c r="K48" s="264"/>
      <c r="L48" s="264"/>
      <c r="M48" s="176"/>
      <c r="N48" s="68"/>
      <c r="O48" s="68"/>
      <c r="P48" s="68"/>
      <c r="Q48" s="68"/>
    </row>
    <row r="49">
      <c r="A49" s="68"/>
      <c r="B49" s="117"/>
      <c r="C49" s="176"/>
      <c r="D49" s="128"/>
      <c r="E49" s="216"/>
      <c r="F49" s="217"/>
      <c r="G49" s="217"/>
      <c r="H49" s="217"/>
      <c r="I49" s="217"/>
      <c r="J49" s="217"/>
      <c r="K49" s="264"/>
      <c r="L49" s="264"/>
      <c r="M49" s="176"/>
      <c r="N49" s="68"/>
      <c r="O49" s="68"/>
      <c r="P49" s="68"/>
      <c r="Q49" s="68"/>
    </row>
    <row r="50">
      <c r="A50" s="68"/>
      <c r="B50" s="117"/>
      <c r="C50" s="176"/>
      <c r="D50" s="128"/>
      <c r="E50" s="216"/>
      <c r="F50" s="217"/>
      <c r="G50" s="217"/>
      <c r="H50" s="217"/>
      <c r="I50" s="217"/>
      <c r="J50" s="217"/>
      <c r="K50" s="264"/>
      <c r="L50" s="264"/>
      <c r="M50" s="176"/>
      <c r="N50" s="68"/>
      <c r="O50" s="68"/>
      <c r="P50" s="68"/>
      <c r="Q50" s="68"/>
    </row>
    <row r="51">
      <c r="A51" s="68"/>
      <c r="B51" s="117"/>
      <c r="C51" s="176"/>
      <c r="D51" s="128"/>
      <c r="E51" s="216"/>
      <c r="F51" s="217"/>
      <c r="G51" s="217"/>
      <c r="H51" s="217"/>
      <c r="I51" s="217"/>
      <c r="J51" s="217"/>
      <c r="K51" s="264"/>
      <c r="L51" s="264"/>
      <c r="M51" s="176"/>
      <c r="N51" s="68"/>
      <c r="O51" s="68"/>
      <c r="P51" s="68"/>
      <c r="Q51" s="68"/>
    </row>
    <row r="52">
      <c r="A52" s="68"/>
      <c r="B52" s="117"/>
      <c r="C52" s="176"/>
      <c r="D52" s="128"/>
      <c r="E52" s="216"/>
      <c r="F52" s="217"/>
      <c r="G52" s="217"/>
      <c r="H52" s="217"/>
      <c r="I52" s="217"/>
      <c r="J52" s="217"/>
      <c r="K52" s="264"/>
      <c r="L52" s="264"/>
      <c r="M52" s="176"/>
      <c r="N52" s="68"/>
      <c r="O52" s="68"/>
      <c r="P52" s="68"/>
      <c r="Q52" s="68"/>
    </row>
    <row r="53">
      <c r="A53" s="68"/>
      <c r="B53" s="117"/>
      <c r="C53" s="176"/>
      <c r="D53" s="128"/>
      <c r="E53" s="216"/>
      <c r="F53" s="217"/>
      <c r="G53" s="217"/>
      <c r="H53" s="217"/>
      <c r="I53" s="217"/>
      <c r="J53" s="217"/>
      <c r="K53" s="264"/>
      <c r="L53" s="264"/>
      <c r="M53" s="176"/>
      <c r="N53" s="68"/>
      <c r="O53" s="68"/>
      <c r="P53" s="68"/>
      <c r="Q53" s="68"/>
    </row>
    <row r="54">
      <c r="A54" s="68"/>
      <c r="B54" s="117"/>
      <c r="C54" s="176"/>
      <c r="D54" s="128"/>
      <c r="E54" s="216"/>
      <c r="F54" s="217"/>
      <c r="G54" s="217"/>
      <c r="H54" s="217"/>
      <c r="I54" s="217"/>
      <c r="J54" s="217"/>
      <c r="K54" s="264"/>
      <c r="L54" s="264"/>
      <c r="M54" s="176"/>
      <c r="N54" s="68"/>
      <c r="O54" s="68"/>
      <c r="P54" s="68"/>
      <c r="Q54" s="68"/>
    </row>
    <row r="55">
      <c r="A55" s="68"/>
      <c r="B55" s="117"/>
      <c r="C55" s="176"/>
      <c r="D55" s="128"/>
      <c r="E55" s="216"/>
      <c r="F55" s="217"/>
      <c r="G55" s="217"/>
      <c r="H55" s="217"/>
      <c r="I55" s="217"/>
      <c r="J55" s="217"/>
      <c r="K55" s="264"/>
      <c r="L55" s="264"/>
      <c r="M55" s="176"/>
      <c r="N55" s="68"/>
      <c r="O55" s="68"/>
      <c r="P55" s="68"/>
      <c r="Q55" s="68"/>
    </row>
    <row r="56">
      <c r="A56" s="68"/>
      <c r="B56" s="117"/>
      <c r="C56" s="176"/>
      <c r="D56" s="128"/>
      <c r="E56" s="216"/>
      <c r="F56" s="217"/>
      <c r="G56" s="217"/>
      <c r="H56" s="217"/>
      <c r="I56" s="217"/>
      <c r="J56" s="217"/>
      <c r="K56" s="264"/>
      <c r="L56" s="264"/>
      <c r="M56" s="176"/>
      <c r="N56" s="68"/>
      <c r="O56" s="68"/>
      <c r="P56" s="68"/>
      <c r="Q56" s="68"/>
    </row>
    <row r="57">
      <c r="A57" s="68"/>
      <c r="B57" s="117"/>
      <c r="C57" s="176"/>
      <c r="D57" s="128"/>
      <c r="E57" s="216"/>
      <c r="F57" s="217"/>
      <c r="G57" s="217"/>
      <c r="H57" s="217"/>
      <c r="I57" s="217"/>
      <c r="J57" s="217"/>
      <c r="K57" s="264"/>
      <c r="L57" s="264"/>
      <c r="M57" s="176"/>
      <c r="N57" s="68"/>
      <c r="O57" s="68"/>
      <c r="P57" s="68"/>
      <c r="Q57" s="68"/>
    </row>
    <row r="58">
      <c r="A58" s="68"/>
      <c r="B58" s="117"/>
      <c r="C58" s="176"/>
      <c r="D58" s="128"/>
      <c r="E58" s="216"/>
      <c r="F58" s="217"/>
      <c r="G58" s="217"/>
      <c r="H58" s="217"/>
      <c r="I58" s="217"/>
      <c r="J58" s="217"/>
      <c r="K58" s="264"/>
      <c r="L58" s="264"/>
      <c r="M58" s="176"/>
      <c r="N58" s="68"/>
      <c r="O58" s="68"/>
      <c r="P58" s="68"/>
      <c r="Q58" s="68"/>
    </row>
    <row r="59">
      <c r="A59" s="68"/>
      <c r="B59" s="117"/>
      <c r="C59" s="176"/>
      <c r="D59" s="128"/>
      <c r="E59" s="216"/>
      <c r="F59" s="217"/>
      <c r="G59" s="217"/>
      <c r="H59" s="217"/>
      <c r="I59" s="217"/>
      <c r="J59" s="217"/>
      <c r="K59" s="264"/>
      <c r="L59" s="264"/>
      <c r="M59" s="176"/>
      <c r="N59" s="68"/>
      <c r="O59" s="68"/>
      <c r="P59" s="68"/>
      <c r="Q59" s="68"/>
    </row>
    <row r="60">
      <c r="A60" s="68"/>
      <c r="B60" s="117"/>
      <c r="C60" s="176"/>
      <c r="D60" s="128"/>
      <c r="E60" s="216"/>
      <c r="F60" s="217"/>
      <c r="G60" s="217"/>
      <c r="H60" s="217"/>
      <c r="I60" s="217"/>
      <c r="J60" s="217"/>
      <c r="K60" s="264"/>
      <c r="L60" s="264"/>
      <c r="M60" s="176"/>
      <c r="N60" s="68"/>
      <c r="O60" s="68"/>
      <c r="P60" s="68"/>
      <c r="Q60" s="68"/>
    </row>
    <row r="61">
      <c r="A61" s="68"/>
      <c r="B61" s="117"/>
      <c r="C61" s="176"/>
      <c r="D61" s="128"/>
      <c r="E61" s="216"/>
      <c r="F61" s="217"/>
      <c r="G61" s="217"/>
      <c r="H61" s="217"/>
      <c r="I61" s="217"/>
      <c r="J61" s="217"/>
      <c r="K61" s="264"/>
      <c r="L61" s="264"/>
      <c r="M61" s="176"/>
      <c r="N61" s="68"/>
      <c r="O61" s="68"/>
      <c r="P61" s="68"/>
      <c r="Q61" s="68"/>
    </row>
    <row r="62">
      <c r="A62" s="68"/>
      <c r="B62" s="117"/>
      <c r="C62" s="176"/>
      <c r="D62" s="128"/>
      <c r="E62" s="216"/>
      <c r="F62" s="217"/>
      <c r="G62" s="217"/>
      <c r="H62" s="217"/>
      <c r="I62" s="217"/>
      <c r="J62" s="217"/>
      <c r="K62" s="264"/>
      <c r="L62" s="264"/>
      <c r="M62" s="176"/>
      <c r="N62" s="68"/>
      <c r="O62" s="68"/>
      <c r="P62" s="68"/>
      <c r="Q62" s="68"/>
    </row>
    <row r="63">
      <c r="A63" s="68"/>
      <c r="B63" s="117"/>
      <c r="C63" s="176"/>
      <c r="D63" s="128"/>
      <c r="E63" s="216"/>
      <c r="F63" s="217"/>
      <c r="G63" s="217"/>
      <c r="H63" s="217"/>
      <c r="I63" s="217"/>
      <c r="J63" s="217"/>
      <c r="K63" s="264"/>
      <c r="L63" s="264"/>
      <c r="M63" s="176"/>
      <c r="N63" s="68"/>
      <c r="O63" s="68"/>
      <c r="P63" s="68"/>
      <c r="Q63" s="68"/>
    </row>
    <row r="64">
      <c r="A64" s="68"/>
      <c r="B64" s="117"/>
      <c r="C64" s="176"/>
      <c r="D64" s="128"/>
      <c r="E64" s="216"/>
      <c r="F64" s="217"/>
      <c r="G64" s="217"/>
      <c r="H64" s="217"/>
      <c r="I64" s="217"/>
      <c r="J64" s="217"/>
      <c r="K64" s="264"/>
      <c r="L64" s="264"/>
      <c r="M64" s="176"/>
      <c r="N64" s="68"/>
      <c r="O64" s="68"/>
      <c r="P64" s="68"/>
      <c r="Q64" s="68"/>
    </row>
    <row r="65">
      <c r="A65" s="68"/>
      <c r="B65" s="117"/>
      <c r="C65" s="176"/>
      <c r="D65" s="128"/>
      <c r="E65" s="216"/>
      <c r="F65" s="217"/>
      <c r="G65" s="217"/>
      <c r="H65" s="217"/>
      <c r="I65" s="217"/>
      <c r="J65" s="217"/>
      <c r="K65" s="264"/>
      <c r="L65" s="264"/>
      <c r="M65" s="176"/>
      <c r="N65" s="68"/>
      <c r="O65" s="68"/>
      <c r="P65" s="68"/>
      <c r="Q65" s="68"/>
    </row>
    <row r="66">
      <c r="A66" s="68"/>
      <c r="B66" s="117"/>
      <c r="C66" s="176"/>
      <c r="D66" s="128"/>
      <c r="E66" s="216"/>
      <c r="F66" s="217"/>
      <c r="G66" s="217"/>
      <c r="H66" s="217"/>
      <c r="I66" s="217"/>
      <c r="J66" s="217"/>
      <c r="K66" s="264"/>
      <c r="L66" s="264"/>
      <c r="M66" s="176"/>
      <c r="N66" s="68"/>
      <c r="O66" s="68"/>
      <c r="P66" s="68"/>
      <c r="Q66" s="68"/>
    </row>
    <row r="67">
      <c r="A67" s="68"/>
      <c r="B67" s="117"/>
      <c r="C67" s="176"/>
      <c r="D67" s="128"/>
      <c r="E67" s="216"/>
      <c r="F67" s="217"/>
      <c r="G67" s="217"/>
      <c r="H67" s="217"/>
      <c r="I67" s="217"/>
      <c r="J67" s="217"/>
      <c r="K67" s="264"/>
      <c r="L67" s="264"/>
      <c r="M67" s="176"/>
      <c r="N67" s="68"/>
      <c r="O67" s="68"/>
      <c r="P67" s="68"/>
      <c r="Q67" s="68"/>
    </row>
    <row r="68">
      <c r="A68" s="68"/>
      <c r="B68" s="117"/>
      <c r="C68" s="176"/>
      <c r="D68" s="128"/>
      <c r="E68" s="216"/>
      <c r="F68" s="217"/>
      <c r="G68" s="217"/>
      <c r="H68" s="217"/>
      <c r="I68" s="217"/>
      <c r="J68" s="217"/>
      <c r="K68" s="264"/>
      <c r="L68" s="264"/>
      <c r="M68" s="176"/>
      <c r="N68" s="68"/>
      <c r="O68" s="68"/>
      <c r="P68" s="68"/>
      <c r="Q68" s="68"/>
    </row>
    <row r="69">
      <c r="A69" s="68"/>
      <c r="B69" s="117"/>
      <c r="C69" s="176"/>
      <c r="D69" s="128"/>
      <c r="E69" s="216"/>
      <c r="F69" s="217"/>
      <c r="G69" s="217"/>
      <c r="H69" s="217"/>
      <c r="I69" s="217"/>
      <c r="J69" s="217"/>
      <c r="K69" s="264"/>
      <c r="L69" s="264"/>
      <c r="M69" s="176"/>
      <c r="N69" s="68"/>
      <c r="O69" s="68"/>
      <c r="P69" s="68"/>
      <c r="Q69" s="68"/>
    </row>
    <row r="70">
      <c r="A70" s="68"/>
      <c r="B70" s="117"/>
      <c r="C70" s="176"/>
      <c r="D70" s="128"/>
      <c r="E70" s="216"/>
      <c r="F70" s="217"/>
      <c r="G70" s="217"/>
      <c r="H70" s="217"/>
      <c r="I70" s="217"/>
      <c r="J70" s="217"/>
      <c r="K70" s="264"/>
      <c r="L70" s="264"/>
      <c r="M70" s="176"/>
      <c r="N70" s="68"/>
      <c r="O70" s="68"/>
      <c r="P70" s="68"/>
      <c r="Q70" s="68"/>
    </row>
    <row r="71">
      <c r="A71" s="68"/>
      <c r="B71" s="117"/>
      <c r="C71" s="176"/>
      <c r="D71" s="128"/>
      <c r="E71" s="216"/>
      <c r="F71" s="217"/>
      <c r="G71" s="217"/>
      <c r="H71" s="217"/>
      <c r="I71" s="217"/>
      <c r="J71" s="217"/>
      <c r="K71" s="264"/>
      <c r="L71" s="264"/>
      <c r="M71" s="176"/>
      <c r="N71" s="68"/>
      <c r="O71" s="68"/>
      <c r="P71" s="68"/>
      <c r="Q71" s="68"/>
    </row>
    <row r="72">
      <c r="A72" s="68"/>
      <c r="B72" s="117"/>
      <c r="C72" s="176"/>
      <c r="D72" s="128"/>
      <c r="E72" s="216"/>
      <c r="F72" s="217"/>
      <c r="G72" s="217"/>
      <c r="H72" s="217"/>
      <c r="I72" s="217"/>
      <c r="J72" s="217"/>
      <c r="K72" s="264"/>
      <c r="L72" s="264"/>
      <c r="M72" s="176"/>
      <c r="N72" s="68"/>
      <c r="O72" s="68"/>
      <c r="P72" s="68"/>
      <c r="Q72" s="68"/>
    </row>
    <row r="73">
      <c r="A73" s="68"/>
      <c r="B73" s="117"/>
      <c r="C73" s="176"/>
      <c r="D73" s="128"/>
      <c r="E73" s="216"/>
      <c r="F73" s="217"/>
      <c r="G73" s="217"/>
      <c r="H73" s="217"/>
      <c r="I73" s="217"/>
      <c r="J73" s="217"/>
      <c r="K73" s="264"/>
      <c r="L73" s="264"/>
      <c r="M73" s="176"/>
      <c r="N73" s="68"/>
      <c r="O73" s="68"/>
      <c r="P73" s="68"/>
      <c r="Q73" s="68"/>
    </row>
    <row r="74">
      <c r="A74" s="68"/>
      <c r="B74" s="117"/>
      <c r="C74" s="176"/>
      <c r="D74" s="128"/>
      <c r="E74" s="216"/>
      <c r="F74" s="217"/>
      <c r="G74" s="217"/>
      <c r="H74" s="217"/>
      <c r="I74" s="217"/>
      <c r="J74" s="217"/>
      <c r="K74" s="264"/>
      <c r="L74" s="264"/>
      <c r="M74" s="176"/>
      <c r="N74" s="68"/>
      <c r="O74" s="68"/>
      <c r="P74" s="68"/>
      <c r="Q74" s="68"/>
    </row>
    <row r="75">
      <c r="A75" s="68"/>
      <c r="B75" s="117"/>
      <c r="C75" s="176"/>
      <c r="D75" s="128"/>
      <c r="E75" s="216"/>
      <c r="F75" s="217"/>
      <c r="G75" s="217"/>
      <c r="H75" s="217"/>
      <c r="I75" s="217"/>
      <c r="J75" s="217"/>
      <c r="K75" s="264"/>
      <c r="L75" s="264"/>
      <c r="M75" s="176"/>
      <c r="N75" s="68"/>
      <c r="O75" s="68"/>
      <c r="P75" s="68"/>
      <c r="Q75" s="68"/>
    </row>
    <row r="76">
      <c r="A76" s="68"/>
      <c r="B76" s="117"/>
      <c r="C76" s="176"/>
      <c r="D76" s="128"/>
      <c r="E76" s="216"/>
      <c r="F76" s="217"/>
      <c r="G76" s="217"/>
      <c r="H76" s="217"/>
      <c r="I76" s="217"/>
      <c r="J76" s="217"/>
      <c r="K76" s="264"/>
      <c r="L76" s="264"/>
      <c r="M76" s="176"/>
      <c r="N76" s="68"/>
      <c r="O76" s="68"/>
      <c r="P76" s="68"/>
      <c r="Q76" s="68"/>
    </row>
    <row r="77">
      <c r="A77" s="68"/>
      <c r="B77" s="117"/>
      <c r="C77" s="176"/>
      <c r="D77" s="128"/>
      <c r="E77" s="216"/>
      <c r="F77" s="217"/>
      <c r="G77" s="217"/>
      <c r="H77" s="217"/>
      <c r="I77" s="217"/>
      <c r="J77" s="217"/>
      <c r="K77" s="264"/>
      <c r="L77" s="264"/>
      <c r="M77" s="176"/>
      <c r="N77" s="68"/>
      <c r="O77" s="68"/>
      <c r="P77" s="68"/>
      <c r="Q77" s="68"/>
    </row>
    <row r="78">
      <c r="A78" s="68"/>
      <c r="B78" s="117"/>
      <c r="C78" s="176"/>
      <c r="D78" s="128"/>
      <c r="E78" s="216"/>
      <c r="F78" s="217"/>
      <c r="G78" s="217"/>
      <c r="H78" s="217"/>
      <c r="I78" s="217"/>
      <c r="J78" s="217"/>
      <c r="K78" s="264"/>
      <c r="L78" s="264"/>
      <c r="M78" s="176"/>
      <c r="N78" s="68"/>
      <c r="O78" s="68"/>
      <c r="P78" s="68"/>
      <c r="Q78" s="68"/>
    </row>
    <row r="79">
      <c r="A79" s="68"/>
      <c r="B79" s="117"/>
      <c r="C79" s="176"/>
      <c r="D79" s="128"/>
      <c r="E79" s="216"/>
      <c r="F79" s="217"/>
      <c r="G79" s="217"/>
      <c r="H79" s="217"/>
      <c r="I79" s="217"/>
      <c r="J79" s="217"/>
      <c r="K79" s="264"/>
      <c r="L79" s="264"/>
      <c r="M79" s="176"/>
      <c r="N79" s="68"/>
      <c r="O79" s="68"/>
      <c r="P79" s="68"/>
      <c r="Q79" s="68"/>
    </row>
    <row r="80">
      <c r="A80" s="68"/>
      <c r="B80" s="117"/>
      <c r="C80" s="176"/>
      <c r="D80" s="128"/>
      <c r="E80" s="216"/>
      <c r="F80" s="217"/>
      <c r="G80" s="217"/>
      <c r="H80" s="217"/>
      <c r="I80" s="217"/>
      <c r="J80" s="217"/>
      <c r="K80" s="264"/>
      <c r="L80" s="264"/>
      <c r="M80" s="176"/>
      <c r="N80" s="68"/>
      <c r="O80" s="68"/>
      <c r="P80" s="68"/>
      <c r="Q80" s="68"/>
    </row>
    <row r="81">
      <c r="A81" s="68"/>
      <c r="B81" s="117"/>
      <c r="C81" s="176"/>
      <c r="D81" s="128"/>
      <c r="E81" s="216"/>
      <c r="F81" s="217"/>
      <c r="G81" s="217"/>
      <c r="H81" s="217"/>
      <c r="I81" s="217"/>
      <c r="J81" s="217"/>
      <c r="K81" s="264"/>
      <c r="L81" s="264"/>
      <c r="M81" s="176"/>
      <c r="N81" s="68"/>
      <c r="O81" s="68"/>
      <c r="P81" s="68"/>
      <c r="Q81" s="68"/>
    </row>
    <row r="82">
      <c r="A82" s="68"/>
      <c r="B82" s="117"/>
      <c r="C82" s="176"/>
      <c r="D82" s="128"/>
      <c r="E82" s="216"/>
      <c r="F82" s="217"/>
      <c r="G82" s="217"/>
      <c r="H82" s="217"/>
      <c r="I82" s="217"/>
      <c r="J82" s="217"/>
      <c r="K82" s="264"/>
      <c r="L82" s="264"/>
      <c r="M82" s="176"/>
      <c r="N82" s="68"/>
      <c r="O82" s="68"/>
      <c r="P82" s="68"/>
      <c r="Q82" s="68"/>
    </row>
    <row r="83">
      <c r="A83" s="68"/>
      <c r="B83" s="117"/>
      <c r="C83" s="176"/>
      <c r="D83" s="128"/>
      <c r="E83" s="216"/>
      <c r="F83" s="217"/>
      <c r="G83" s="217"/>
      <c r="H83" s="217"/>
      <c r="I83" s="217"/>
      <c r="J83" s="217"/>
      <c r="K83" s="264"/>
      <c r="L83" s="264"/>
      <c r="M83" s="176"/>
      <c r="N83" s="68"/>
      <c r="O83" s="68"/>
      <c r="P83" s="68"/>
      <c r="Q83" s="68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8"/>
      <c r="B1" s="129"/>
      <c r="C1" s="130"/>
      <c r="D1" s="130"/>
      <c r="E1" s="130"/>
      <c r="F1" s="130"/>
      <c r="G1" s="130"/>
      <c r="H1" s="68"/>
      <c r="I1" s="131"/>
      <c r="J1" s="131"/>
      <c r="K1" s="132"/>
      <c r="L1" s="131"/>
      <c r="M1" s="132"/>
      <c r="N1" s="68"/>
      <c r="O1" s="68"/>
    </row>
    <row r="2">
      <c r="A2" s="133"/>
      <c r="B2" s="134"/>
      <c r="C2" s="135" t="s">
        <v>310</v>
      </c>
      <c r="H2" s="68"/>
      <c r="I2" s="131"/>
      <c r="J2" s="131"/>
      <c r="K2" s="132"/>
      <c r="L2" s="131"/>
      <c r="M2" s="132"/>
      <c r="N2" s="68"/>
      <c r="O2" s="68"/>
    </row>
    <row r="3">
      <c r="A3" s="133"/>
      <c r="B3" s="136" t="s">
        <v>311</v>
      </c>
      <c r="C3" s="137" t="s">
        <v>434</v>
      </c>
      <c r="D3" s="137" t="s">
        <v>435</v>
      </c>
      <c r="E3" s="137" t="s">
        <v>436</v>
      </c>
      <c r="F3" s="137" t="s">
        <v>437</v>
      </c>
      <c r="G3" s="137" t="s">
        <v>438</v>
      </c>
      <c r="H3" s="138" t="s">
        <v>317</v>
      </c>
      <c r="I3" s="131"/>
      <c r="J3" s="138" t="s">
        <v>318</v>
      </c>
      <c r="K3" s="138" t="s">
        <v>318</v>
      </c>
      <c r="L3" s="131"/>
      <c r="M3" s="139" t="s">
        <v>319</v>
      </c>
      <c r="N3" s="68"/>
      <c r="O3" s="68"/>
    </row>
    <row r="4">
      <c r="A4" s="133"/>
      <c r="B4" s="117" t="s">
        <v>320</v>
      </c>
      <c r="C4" s="140">
        <v>0.0821</v>
      </c>
      <c r="D4" s="140">
        <v>0.0567</v>
      </c>
      <c r="E4" s="140">
        <v>0.0461</v>
      </c>
      <c r="F4" s="140">
        <v>0.028</v>
      </c>
      <c r="G4" s="140">
        <v>0.0253</v>
      </c>
      <c r="H4" s="288">
        <f>SUM(C4:G4)</f>
        <v>0.2382</v>
      </c>
      <c r="I4" s="131"/>
      <c r="J4" s="131"/>
      <c r="K4" s="142"/>
      <c r="L4" s="131"/>
      <c r="M4" s="142" t="s">
        <v>321</v>
      </c>
      <c r="N4" s="68"/>
      <c r="O4" s="68"/>
    </row>
    <row r="5">
      <c r="A5" s="133"/>
      <c r="B5" s="143" t="s">
        <v>322</v>
      </c>
      <c r="C5" s="144">
        <f>C4*RESUMEN!$C$13</f>
        <v>907205000</v>
      </c>
      <c r="D5" s="144">
        <f>D4*RESUMEN!$C$13</f>
        <v>626535000</v>
      </c>
      <c r="E5" s="144">
        <f>E4*RESUMEN!$C$13</f>
        <v>509405000</v>
      </c>
      <c r="F5" s="144">
        <f>F4*RESUMEN!$C$13</f>
        <v>309400000</v>
      </c>
      <c r="G5" s="144">
        <f>G4*RESUMEN!$C$13</f>
        <v>279565000</v>
      </c>
      <c r="H5" s="96"/>
      <c r="I5" s="145"/>
      <c r="J5" s="145"/>
      <c r="K5" s="146"/>
      <c r="L5" s="145"/>
      <c r="M5" s="146"/>
      <c r="N5" s="68"/>
      <c r="O5" s="68"/>
    </row>
    <row r="6">
      <c r="A6" s="133"/>
      <c r="B6" s="134" t="s">
        <v>323</v>
      </c>
      <c r="C6" s="147">
        <v>0.06</v>
      </c>
      <c r="D6" s="147">
        <v>0.06</v>
      </c>
      <c r="E6" s="147">
        <v>0.06</v>
      </c>
      <c r="F6" s="147">
        <v>0.06</v>
      </c>
      <c r="G6" s="147">
        <v>0.06</v>
      </c>
      <c r="H6" s="96"/>
      <c r="I6" s="145"/>
      <c r="J6" s="145"/>
      <c r="K6" s="146"/>
      <c r="L6" s="145"/>
      <c r="M6" s="146"/>
      <c r="N6" s="68"/>
      <c r="O6" s="68"/>
    </row>
    <row r="7" outlineLevel="1">
      <c r="A7" s="133"/>
      <c r="B7" s="148" t="s">
        <v>324</v>
      </c>
      <c r="C7" s="149">
        <f>VLOOKUP(RESUMEN!$C$4,'Aceptance Rate Delta per Indust'!$B$3:$K$40,9,false)</f>
        <v>0.18</v>
      </c>
      <c r="D7" s="149">
        <f>VLOOKUP(RESUMEN!$C$4,'Aceptance Rate Delta per Indust'!$B$3:$K$40,9,false)</f>
        <v>0.18</v>
      </c>
      <c r="E7" s="149">
        <f>VLOOKUP(RESUMEN!$C$4,'Aceptance Rate Delta per Indust'!$B$3:$K$40,9,false)</f>
        <v>0.18</v>
      </c>
      <c r="F7" s="149">
        <f>VLOOKUP(RESUMEN!$C$4,'Aceptance Rate Delta per Indust'!$B$3:$K$40,9,false)</f>
        <v>0.18</v>
      </c>
      <c r="G7" s="149">
        <f>VLOOKUP(RESUMEN!$C$4,'Aceptance Rate Delta per Indust'!$B$3:$K$40,9,false)</f>
        <v>0.18</v>
      </c>
      <c r="H7" s="96"/>
      <c r="I7" s="145"/>
      <c r="J7" s="145"/>
      <c r="K7" s="146"/>
      <c r="L7" s="145"/>
      <c r="M7" s="146"/>
      <c r="N7" s="68"/>
      <c r="O7" s="68"/>
    </row>
    <row r="8" outlineLevel="1">
      <c r="A8" s="133"/>
      <c r="B8" s="150" t="s">
        <v>325</v>
      </c>
      <c r="C8" s="151">
        <f>VLOOKUP(RESUMEN!$C$4,'Aceptance Rate Delta per Indust'!$B$3:$K$40,10,false)</f>
        <v>0.8</v>
      </c>
      <c r="D8" s="151">
        <f>VLOOKUP(RESUMEN!$C$4,'Aceptance Rate Delta per Indust'!$B$3:$K$40,10,false)</f>
        <v>0.8</v>
      </c>
      <c r="E8" s="151">
        <f>VLOOKUP(RESUMEN!$C$4,'Aceptance Rate Delta per Indust'!$B$3:$K$40,10,false)</f>
        <v>0.8</v>
      </c>
      <c r="F8" s="151">
        <f>VLOOKUP(RESUMEN!$C$4,'Aceptance Rate Delta per Indust'!$B$3:$K$40,10,false)</f>
        <v>0.8</v>
      </c>
      <c r="G8" s="151">
        <f>VLOOKUP(RESUMEN!$C$4,'Aceptance Rate Delta per Indust'!$B$3:$K$40,10,false)</f>
        <v>0.8</v>
      </c>
      <c r="H8" s="96"/>
      <c r="I8" s="145"/>
      <c r="J8" s="145"/>
      <c r="K8" s="146"/>
      <c r="L8" s="145"/>
      <c r="M8" s="146"/>
      <c r="N8" s="68"/>
      <c r="O8" s="68"/>
    </row>
    <row r="9">
      <c r="A9" s="133"/>
      <c r="B9" s="117" t="s">
        <v>326</v>
      </c>
      <c r="C9" s="144">
        <f t="shared" ref="C9:G9" si="1">(ROUND(C5*C6,0))</f>
        <v>54432300</v>
      </c>
      <c r="D9" s="144">
        <f t="shared" si="1"/>
        <v>37592100</v>
      </c>
      <c r="E9" s="144">
        <f t="shared" si="1"/>
        <v>30564300</v>
      </c>
      <c r="F9" s="144">
        <f t="shared" si="1"/>
        <v>18564000</v>
      </c>
      <c r="G9" s="144">
        <f t="shared" si="1"/>
        <v>16773900</v>
      </c>
      <c r="H9" s="96"/>
      <c r="I9" s="145"/>
      <c r="J9" s="145"/>
      <c r="K9" s="146"/>
      <c r="L9" s="145"/>
      <c r="M9" s="146"/>
      <c r="N9" s="68"/>
      <c r="O9" s="68"/>
    </row>
    <row r="10" outlineLevel="1">
      <c r="A10" s="133"/>
      <c r="B10" s="134" t="s">
        <v>327</v>
      </c>
      <c r="C10" s="152">
        <v>5.84</v>
      </c>
      <c r="D10" s="152">
        <v>6.0</v>
      </c>
      <c r="E10" s="152">
        <v>5.15</v>
      </c>
      <c r="F10" s="152">
        <v>9.5</v>
      </c>
      <c r="G10" s="152">
        <v>6.0</v>
      </c>
      <c r="H10" s="96"/>
      <c r="I10" s="153"/>
      <c r="J10" s="153"/>
      <c r="K10" s="153"/>
      <c r="L10" s="153"/>
      <c r="M10" s="153" t="s">
        <v>328</v>
      </c>
      <c r="N10" s="68"/>
      <c r="O10" s="68"/>
    </row>
    <row r="11" outlineLevel="1">
      <c r="A11" s="133"/>
      <c r="B11" s="154" t="s">
        <v>329</v>
      </c>
      <c r="C11" s="155">
        <f>(RESUMEN!$C$13*C4*C6*C10)/1000000</f>
        <v>317.884632</v>
      </c>
      <c r="D11" s="155">
        <f>(RESUMEN!$C$13*D4*D6*D10)/1000000</f>
        <v>225.5526</v>
      </c>
      <c r="E11" s="155">
        <f>(RESUMEN!$C$13*E4*E6*E10)/1000000</f>
        <v>157.406145</v>
      </c>
      <c r="F11" s="155">
        <f>(RESUMEN!$C$13*F4*F6*F10)/1000000</f>
        <v>176.358</v>
      </c>
      <c r="G11" s="155">
        <f>(RESUMEN!$C$13*G4*G6*G10)/1000000</f>
        <v>100.6434</v>
      </c>
      <c r="H11" s="289">
        <f>SUM(C11:G11)</f>
        <v>977.844777</v>
      </c>
      <c r="I11" s="145"/>
      <c r="J11" s="145"/>
      <c r="K11" s="146"/>
      <c r="L11" s="145"/>
      <c r="M11" s="146"/>
      <c r="N11" s="68"/>
      <c r="O11" s="68"/>
    </row>
    <row r="12">
      <c r="A12" s="133"/>
      <c r="B12" s="148" t="s">
        <v>330</v>
      </c>
      <c r="C12" s="157">
        <v>0.85</v>
      </c>
      <c r="D12" s="157">
        <v>0.8</v>
      </c>
      <c r="E12" s="157">
        <v>0.88</v>
      </c>
      <c r="F12" s="157">
        <v>0.88</v>
      </c>
      <c r="G12" s="157">
        <v>0.88</v>
      </c>
      <c r="H12" s="96"/>
      <c r="K12" s="153"/>
      <c r="M12" s="153" t="s">
        <v>331</v>
      </c>
      <c r="N12" s="68"/>
      <c r="O12" s="68"/>
    </row>
    <row r="13">
      <c r="A13" s="133"/>
      <c r="B13" s="154" t="s">
        <v>332</v>
      </c>
      <c r="C13" s="158">
        <f t="shared" ref="C13:F13" si="2">(C12*C11)</f>
        <v>270.2019372</v>
      </c>
      <c r="D13" s="158">
        <f t="shared" si="2"/>
        <v>180.44208</v>
      </c>
      <c r="E13" s="158">
        <f t="shared" si="2"/>
        <v>138.5174076</v>
      </c>
      <c r="F13" s="158">
        <f t="shared" si="2"/>
        <v>155.19504</v>
      </c>
      <c r="G13" s="158">
        <f>G12*G11</f>
        <v>88.566192</v>
      </c>
      <c r="H13" s="159">
        <f>SUM(C13:G13)</f>
        <v>832.9226568</v>
      </c>
      <c r="K13" s="153"/>
      <c r="M13" s="153" t="s">
        <v>333</v>
      </c>
      <c r="N13" s="96"/>
      <c r="O13" s="96"/>
    </row>
    <row r="14">
      <c r="A14" s="133"/>
      <c r="B14" s="134" t="s">
        <v>334</v>
      </c>
      <c r="C14" s="160">
        <f t="shared" ref="C14:G14" si="3">1-C12</f>
        <v>0.15</v>
      </c>
      <c r="D14" s="160">
        <f t="shared" si="3"/>
        <v>0.2</v>
      </c>
      <c r="E14" s="160">
        <f t="shared" si="3"/>
        <v>0.12</v>
      </c>
      <c r="F14" s="160">
        <f t="shared" si="3"/>
        <v>0.12</v>
      </c>
      <c r="G14" s="160">
        <f t="shared" si="3"/>
        <v>0.12</v>
      </c>
      <c r="H14" s="96"/>
      <c r="K14" s="153"/>
      <c r="M14" s="153" t="s">
        <v>335</v>
      </c>
      <c r="N14" s="96"/>
      <c r="O14" s="96"/>
    </row>
    <row r="15">
      <c r="A15" s="133"/>
      <c r="B15" s="161" t="s">
        <v>336</v>
      </c>
      <c r="C15" s="162">
        <f t="shared" ref="C15:G15" si="4">C14*C11</f>
        <v>47.6826948</v>
      </c>
      <c r="D15" s="162">
        <f t="shared" si="4"/>
        <v>45.11052</v>
      </c>
      <c r="E15" s="162">
        <f t="shared" si="4"/>
        <v>18.8887374</v>
      </c>
      <c r="F15" s="162">
        <f t="shared" si="4"/>
        <v>21.16296</v>
      </c>
      <c r="G15" s="162">
        <f t="shared" si="4"/>
        <v>12.077208</v>
      </c>
      <c r="H15" s="96"/>
      <c r="K15" s="145"/>
      <c r="M15" s="145"/>
      <c r="N15" s="96"/>
      <c r="O15" s="96"/>
    </row>
    <row r="16">
      <c r="A16" s="133"/>
      <c r="K16" s="163"/>
      <c r="M16" s="163"/>
    </row>
    <row r="17">
      <c r="A17" s="133"/>
      <c r="B17" s="164" t="s">
        <v>337</v>
      </c>
      <c r="C17" s="165"/>
      <c r="D17" s="165"/>
      <c r="E17" s="165"/>
      <c r="F17" s="165"/>
      <c r="G17" s="165"/>
      <c r="H17" s="96"/>
      <c r="K17" s="131"/>
      <c r="M17" s="131"/>
      <c r="N17" s="96"/>
      <c r="O17" s="96"/>
    </row>
    <row r="18">
      <c r="A18" s="133"/>
      <c r="B18" s="166" t="s">
        <v>338</v>
      </c>
      <c r="C18" s="167">
        <f>AVERAGE(VLOOKUP(RESUMEN!$C$4, 'Aceptance Rate Delta per Indust'!$B$3:$E$40, 3, FALSE), VLOOKUP(RESUMEN!$C$4, 'Aceptance Rate Delta per Indust'!$B$3:$E$40, 4, FALSE))</f>
        <v>0.02</v>
      </c>
      <c r="D18" s="167">
        <f>AVERAGE(VLOOKUP(RESUMEN!$C$4, 'Aceptance Rate Delta per Indust'!$B$3:$E$40, 3, FALSE), VLOOKUP(RESUMEN!$C$4, 'Aceptance Rate Delta per Indust'!$B$3:$E$40, 4, FALSE))</f>
        <v>0.02</v>
      </c>
      <c r="E18" s="167">
        <f>AVERAGE(VLOOKUP(RESUMEN!$C$4, 'Aceptance Rate Delta per Indust'!$B$3:$E$40, 3, FALSE), VLOOKUP(RESUMEN!$C$4, 'Aceptance Rate Delta per Indust'!$B$3:$E$40, 4, FALSE))</f>
        <v>0.02</v>
      </c>
      <c r="F18" s="167">
        <f>AVERAGE(VLOOKUP(RESUMEN!$C$4, 'Aceptance Rate Delta per Indust'!$B$3:$E$40, 3, FALSE), VLOOKUP(RESUMEN!$C$4, 'Aceptance Rate Delta per Indust'!$B$3:$E$40, 4, FALSE))</f>
        <v>0.02</v>
      </c>
      <c r="G18" s="167">
        <f>AVERAGE(VLOOKUP(RESUMEN!$C$4, 'Aceptance Rate Delta per Indust'!$B$3:$E$40, 3, FALSE), VLOOKUP(RESUMEN!$C$4, 'Aceptance Rate Delta per Indust'!$B$3:$E$40, 4, FALSE))</f>
        <v>0.02</v>
      </c>
      <c r="H18" s="168" t="s">
        <v>20</v>
      </c>
      <c r="K18" s="169"/>
      <c r="M18" s="169"/>
      <c r="N18" s="96"/>
      <c r="O18" s="96"/>
    </row>
    <row r="19">
      <c r="A19" s="133"/>
      <c r="B19" s="170" t="s">
        <v>339</v>
      </c>
      <c r="C19" s="171">
        <f t="shared" ref="C19:G19" si="5">C13*C18</f>
        <v>5.404038744</v>
      </c>
      <c r="D19" s="171">
        <f t="shared" si="5"/>
        <v>3.6088416</v>
      </c>
      <c r="E19" s="171">
        <f t="shared" si="5"/>
        <v>2.770348152</v>
      </c>
      <c r="F19" s="171">
        <f t="shared" si="5"/>
        <v>3.1039008</v>
      </c>
      <c r="G19" s="171">
        <f t="shared" si="5"/>
        <v>1.77132384</v>
      </c>
      <c r="H19" s="172">
        <f t="shared" ref="H19:H20" si="6">SUM(C19:G19)</f>
        <v>16.65845314</v>
      </c>
      <c r="J19" s="172">
        <f t="shared" ref="J19:J20" si="7">rounddown(H19-1,0)</f>
        <v>15</v>
      </c>
      <c r="K19" s="172">
        <f t="shared" ref="K19:K20" si="8">ROUNDUP(H19-1,0)+1</f>
        <v>17</v>
      </c>
      <c r="M19" s="153" t="s">
        <v>333</v>
      </c>
      <c r="N19" s="96"/>
      <c r="O19" s="96"/>
    </row>
    <row r="20">
      <c r="A20" s="133"/>
      <c r="B20" s="173" t="s">
        <v>340</v>
      </c>
      <c r="C20" s="174">
        <f>C19*RESUMEN!$C$15</f>
        <v>3.242423246</v>
      </c>
      <c r="D20" s="174">
        <f>D19*RESUMEN!$C$15</f>
        <v>2.16530496</v>
      </c>
      <c r="E20" s="174">
        <f>E19*RESUMEN!$C$15</f>
        <v>1.662208891</v>
      </c>
      <c r="F20" s="174">
        <f>F19*RESUMEN!$C$15</f>
        <v>1.86234048</v>
      </c>
      <c r="G20" s="174">
        <f>G19*RESUMEN!$C$15</f>
        <v>1.062794304</v>
      </c>
      <c r="H20" s="301">
        <f t="shared" si="6"/>
        <v>9.995071882</v>
      </c>
      <c r="J20" s="172">
        <f t="shared" si="7"/>
        <v>8</v>
      </c>
      <c r="K20" s="172">
        <f t="shared" si="8"/>
        <v>10</v>
      </c>
      <c r="M20" s="153" t="s">
        <v>333</v>
      </c>
      <c r="N20" s="96"/>
      <c r="O20" s="96"/>
    </row>
    <row r="21">
      <c r="A21" s="133"/>
      <c r="B21" s="68"/>
      <c r="C21" s="175"/>
      <c r="D21" s="175"/>
      <c r="E21" s="175"/>
      <c r="F21" s="175"/>
      <c r="G21" s="175"/>
      <c r="H21" s="176"/>
      <c r="K21" s="131"/>
      <c r="M21" s="131"/>
      <c r="N21" s="96"/>
      <c r="O21" s="96"/>
    </row>
    <row r="22">
      <c r="A22" s="133"/>
      <c r="B22" s="177" t="s">
        <v>341</v>
      </c>
      <c r="C22" s="178">
        <f t="shared" ref="C22:G22" si="9">C$11*C12+C19</f>
        <v>275.6059759</v>
      </c>
      <c r="D22" s="178">
        <f t="shared" si="9"/>
        <v>184.0509216</v>
      </c>
      <c r="E22" s="178">
        <f t="shared" si="9"/>
        <v>141.2877558</v>
      </c>
      <c r="F22" s="178">
        <f t="shared" si="9"/>
        <v>158.2989408</v>
      </c>
      <c r="G22" s="178">
        <f t="shared" si="9"/>
        <v>90.33751584</v>
      </c>
      <c r="H22" s="68"/>
      <c r="K22" s="131"/>
      <c r="M22" s="131"/>
      <c r="N22" s="96"/>
      <c r="O22" s="96"/>
    </row>
    <row r="23">
      <c r="A23" s="133"/>
      <c r="B23" s="179" t="s">
        <v>342</v>
      </c>
      <c r="C23" s="180" t="s">
        <v>414</v>
      </c>
      <c r="D23" s="180" t="s">
        <v>414</v>
      </c>
      <c r="E23" s="180" t="s">
        <v>414</v>
      </c>
      <c r="F23" s="180" t="s">
        <v>414</v>
      </c>
      <c r="G23" s="180" t="s">
        <v>414</v>
      </c>
      <c r="H23" s="68"/>
      <c r="K23" s="153"/>
      <c r="M23" s="153" t="s">
        <v>344</v>
      </c>
      <c r="N23" s="68"/>
      <c r="O23" s="68"/>
    </row>
    <row r="24">
      <c r="A24" s="133"/>
      <c r="B24" s="182" t="s">
        <v>345</v>
      </c>
      <c r="C24" s="149">
        <f>if(C23="Yes",VLOOKUP(RESUMEN!$C$4,'Aceptance Rate Delta per Indust'!$B$3:$G$40,5,FALSE),VLOOKUP(RESUMEN!$C$4,'Aceptance Rate Delta per Indust'!$B$3:$G$40,6,FALSE))</f>
        <v>0.04</v>
      </c>
      <c r="D24" s="149">
        <f>if(D23="Yes",VLOOKUP(RESUMEN!$C$4,'Aceptance Rate Delta per Indust'!$B$3:$G$40,5,FALSE),VLOOKUP(RESUMEN!$C$4,'Aceptance Rate Delta per Indust'!$B$3:$G$40,6,FALSE))</f>
        <v>0.04</v>
      </c>
      <c r="E24" s="149">
        <f>if(E23="Yes",VLOOKUP(RESUMEN!$C$4,'Aceptance Rate Delta per Indust'!$B$3:$G$40,5,FALSE),VLOOKUP(RESUMEN!$C$4,'Aceptance Rate Delta per Indust'!$B$3:$G$40,6,FALSE))</f>
        <v>0.04</v>
      </c>
      <c r="F24" s="149">
        <f>if(F23="Yes",VLOOKUP(RESUMEN!$C$4,'Aceptance Rate Delta per Indust'!$B$3:$G$40,5,FALSE),VLOOKUP(RESUMEN!$C$4,'Aceptance Rate Delta per Indust'!$B$3:$G$40,6,FALSE))</f>
        <v>0.04</v>
      </c>
      <c r="G24" s="149">
        <f>if(G23="Yes",VLOOKUP(RESUMEN!$C$4,'Aceptance Rate Delta per Indust'!$B$3:$G$40,5,FALSE),VLOOKUP(RESUMEN!$C$4,'Aceptance Rate Delta per Indust'!$B$3:$G$40,6,FALSE))</f>
        <v>0.04</v>
      </c>
      <c r="H24" s="68"/>
      <c r="I24" s="131"/>
      <c r="J24" s="131"/>
      <c r="K24" s="142"/>
      <c r="L24" s="131"/>
      <c r="M24" s="142" t="s">
        <v>346</v>
      </c>
      <c r="N24" s="68"/>
      <c r="O24" s="68"/>
    </row>
    <row r="25">
      <c r="A25" s="128"/>
      <c r="B25" s="183" t="s">
        <v>347</v>
      </c>
      <c r="C25" s="184">
        <f t="shared" ref="C25:G25" si="10">IFS(C23="Yes",-0.2%,C23="No",-1%)</f>
        <v>-0.01</v>
      </c>
      <c r="D25" s="184">
        <f t="shared" si="10"/>
        <v>-0.01</v>
      </c>
      <c r="E25" s="184">
        <f t="shared" si="10"/>
        <v>-0.01</v>
      </c>
      <c r="F25" s="184">
        <f t="shared" si="10"/>
        <v>-0.01</v>
      </c>
      <c r="G25" s="184">
        <f t="shared" si="10"/>
        <v>-0.01</v>
      </c>
      <c r="H25" s="68"/>
      <c r="I25" s="131"/>
      <c r="J25" s="131"/>
      <c r="K25" s="142"/>
      <c r="L25" s="131"/>
      <c r="M25" s="142" t="s">
        <v>348</v>
      </c>
      <c r="N25" s="68"/>
      <c r="O25" s="68"/>
    </row>
    <row r="26">
      <c r="A26" s="128"/>
      <c r="B26" s="185" t="s">
        <v>349</v>
      </c>
      <c r="C26" s="186">
        <f t="shared" ref="C26:G26" si="11">C24+C25</f>
        <v>0.03</v>
      </c>
      <c r="D26" s="186">
        <f t="shared" si="11"/>
        <v>0.03</v>
      </c>
      <c r="E26" s="186">
        <f t="shared" si="11"/>
        <v>0.03</v>
      </c>
      <c r="F26" s="186">
        <f t="shared" si="11"/>
        <v>0.03</v>
      </c>
      <c r="G26" s="186">
        <f t="shared" si="11"/>
        <v>0.03</v>
      </c>
      <c r="H26" s="68"/>
      <c r="I26" s="169"/>
      <c r="J26" s="169"/>
      <c r="K26" s="132"/>
      <c r="L26" s="169"/>
      <c r="M26" s="132"/>
      <c r="N26" s="68"/>
      <c r="O26" s="68"/>
    </row>
    <row r="27">
      <c r="A27" s="128"/>
      <c r="B27" s="187" t="s">
        <v>350</v>
      </c>
      <c r="C27" s="188">
        <f t="shared" ref="C27:G27" si="12">C25*C22*-1</f>
        <v>2.756059759</v>
      </c>
      <c r="D27" s="188">
        <f t="shared" si="12"/>
        <v>1.840509216</v>
      </c>
      <c r="E27" s="189">
        <f t="shared" si="12"/>
        <v>1.412877558</v>
      </c>
      <c r="F27" s="188">
        <f t="shared" si="12"/>
        <v>1.582989408</v>
      </c>
      <c r="G27" s="188">
        <f t="shared" si="12"/>
        <v>0.9033751584</v>
      </c>
      <c r="H27" s="302">
        <f>SUM(C27:G27)</f>
        <v>8.495811099</v>
      </c>
      <c r="I27" s="190" t="s">
        <v>20</v>
      </c>
      <c r="J27" s="172">
        <f>rounddown(H27-1,0)</f>
        <v>7</v>
      </c>
      <c r="K27" s="172">
        <f>ROUNDUP(H27-1,0)+1</f>
        <v>9</v>
      </c>
      <c r="L27" s="153"/>
      <c r="M27" s="153" t="s">
        <v>333</v>
      </c>
      <c r="N27" s="68"/>
      <c r="O27" s="68"/>
    </row>
    <row r="28">
      <c r="A28" s="128"/>
      <c r="B28" s="68"/>
      <c r="C28" s="176"/>
      <c r="D28" s="176"/>
      <c r="E28" s="175"/>
      <c r="F28" s="175"/>
      <c r="G28" s="175"/>
      <c r="H28" s="68"/>
      <c r="I28" s="169"/>
      <c r="J28" s="169"/>
      <c r="K28" s="132"/>
      <c r="L28" s="169"/>
      <c r="M28" s="132"/>
      <c r="N28" s="68"/>
      <c r="O28" s="68"/>
    </row>
    <row r="29">
      <c r="A29" s="128"/>
      <c r="B29" s="187" t="s">
        <v>351</v>
      </c>
      <c r="C29" s="191">
        <f t="shared" ref="C29:G29" si="13">C27+C20</f>
        <v>5.998483006</v>
      </c>
      <c r="D29" s="191">
        <f t="shared" si="13"/>
        <v>4.005814176</v>
      </c>
      <c r="E29" s="192">
        <f t="shared" si="13"/>
        <v>3.075086449</v>
      </c>
      <c r="F29" s="191">
        <f t="shared" si="13"/>
        <v>3.445329888</v>
      </c>
      <c r="G29" s="191">
        <f t="shared" si="13"/>
        <v>1.966169462</v>
      </c>
      <c r="H29" s="193">
        <f>SUM(C29:G29)</f>
        <v>18.49088298</v>
      </c>
      <c r="I29" s="169"/>
      <c r="J29" s="169" t="s">
        <v>20</v>
      </c>
      <c r="K29" s="142"/>
      <c r="L29" s="169"/>
      <c r="M29" s="142" t="s">
        <v>352</v>
      </c>
      <c r="N29" s="68"/>
      <c r="O29" s="68"/>
    </row>
    <row r="30">
      <c r="A30" s="128"/>
      <c r="B30" s="68"/>
      <c r="C30" s="175"/>
      <c r="D30" s="175"/>
      <c r="E30" s="175"/>
      <c r="F30" s="175"/>
      <c r="G30" s="175"/>
      <c r="H30" s="68"/>
      <c r="I30" s="194"/>
      <c r="J30" s="194"/>
      <c r="K30" s="132"/>
      <c r="L30" s="194"/>
      <c r="M30" s="132"/>
      <c r="N30" s="68"/>
      <c r="O30" s="68"/>
    </row>
    <row r="31">
      <c r="A31" s="128"/>
      <c r="B31" s="164" t="s">
        <v>353</v>
      </c>
      <c r="C31" s="195" t="s">
        <v>439</v>
      </c>
      <c r="D31" s="195" t="s">
        <v>440</v>
      </c>
      <c r="E31" s="195" t="s">
        <v>441</v>
      </c>
      <c r="F31" s="195" t="s">
        <v>442</v>
      </c>
      <c r="G31" s="195" t="s">
        <v>443</v>
      </c>
      <c r="H31" s="176"/>
      <c r="I31" s="196"/>
      <c r="J31" s="196"/>
      <c r="K31" s="142"/>
      <c r="L31" s="196"/>
      <c r="M31" s="142" t="s">
        <v>359</v>
      </c>
      <c r="N31" s="68"/>
      <c r="O31" s="68"/>
    </row>
    <row r="32">
      <c r="A32" s="128"/>
      <c r="B32" s="177" t="s">
        <v>360</v>
      </c>
      <c r="C32" s="178">
        <f t="shared" ref="C32:G32" si="14">C11*C14</f>
        <v>47.6826948</v>
      </c>
      <c r="D32" s="178">
        <f t="shared" si="14"/>
        <v>45.11052</v>
      </c>
      <c r="E32" s="178">
        <f t="shared" si="14"/>
        <v>18.8887374</v>
      </c>
      <c r="F32" s="178">
        <f t="shared" si="14"/>
        <v>21.16296</v>
      </c>
      <c r="G32" s="178">
        <f t="shared" si="14"/>
        <v>12.077208</v>
      </c>
      <c r="H32" s="176"/>
      <c r="I32" s="194"/>
      <c r="J32" s="194"/>
      <c r="K32" s="132"/>
      <c r="L32" s="194"/>
      <c r="M32" s="132"/>
      <c r="N32" s="68"/>
      <c r="O32" s="68"/>
    </row>
    <row r="33" outlineLevel="1">
      <c r="A33" s="128"/>
      <c r="B33" s="197" t="s">
        <v>361</v>
      </c>
      <c r="C33" s="180">
        <v>0.0</v>
      </c>
      <c r="D33" s="180">
        <v>0.0</v>
      </c>
      <c r="E33" s="180">
        <v>1.0</v>
      </c>
      <c r="F33" s="180">
        <v>0.0</v>
      </c>
      <c r="G33" s="180">
        <v>0.0</v>
      </c>
      <c r="H33" s="176"/>
      <c r="I33" s="194"/>
      <c r="J33" s="194"/>
      <c r="K33" s="142"/>
      <c r="L33" s="194"/>
      <c r="M33" s="142" t="s">
        <v>362</v>
      </c>
      <c r="N33" s="68"/>
      <c r="O33" s="68"/>
    </row>
    <row r="34">
      <c r="A34" s="71" t="s">
        <v>417</v>
      </c>
      <c r="B34" s="198" t="s">
        <v>363</v>
      </c>
      <c r="C34" s="199">
        <v>1.0</v>
      </c>
      <c r="D34" s="199">
        <v>2.0</v>
      </c>
      <c r="E34" s="199">
        <v>2.0</v>
      </c>
      <c r="F34" s="199">
        <v>3.0</v>
      </c>
      <c r="G34" s="199">
        <v>2.0</v>
      </c>
      <c r="H34" s="176"/>
      <c r="I34" s="194"/>
      <c r="J34" s="194"/>
      <c r="K34" s="142"/>
      <c r="L34" s="194"/>
      <c r="M34" s="142" t="s">
        <v>364</v>
      </c>
      <c r="N34" s="68"/>
      <c r="O34" s="68"/>
    </row>
    <row r="35">
      <c r="A35" s="128"/>
      <c r="B35" s="197"/>
      <c r="C35" s="200"/>
      <c r="D35" s="200"/>
      <c r="E35" s="200"/>
      <c r="F35" s="200"/>
      <c r="G35" s="200"/>
      <c r="H35" s="176"/>
      <c r="I35" s="194"/>
      <c r="J35" s="194"/>
      <c r="K35" s="132"/>
      <c r="L35" s="194"/>
      <c r="M35" s="132"/>
      <c r="N35" s="68"/>
      <c r="O35" s="68"/>
    </row>
    <row r="36">
      <c r="A36" s="71" t="s">
        <v>417</v>
      </c>
      <c r="B36" s="198" t="s">
        <v>365</v>
      </c>
      <c r="C36" s="201">
        <v>0.03</v>
      </c>
      <c r="D36" s="201">
        <v>0.04</v>
      </c>
      <c r="E36" s="201">
        <v>0.04</v>
      </c>
      <c r="F36" s="201">
        <v>0.07</v>
      </c>
      <c r="G36" s="201">
        <v>0.05</v>
      </c>
      <c r="I36" s="194"/>
      <c r="J36" s="194"/>
      <c r="K36" s="142"/>
      <c r="L36" s="194"/>
      <c r="M36" s="142" t="s">
        <v>366</v>
      </c>
      <c r="N36" s="68"/>
      <c r="O36" s="68"/>
    </row>
    <row r="37">
      <c r="A37" s="128"/>
      <c r="B37" s="202" t="s">
        <v>367</v>
      </c>
      <c r="C37" s="203">
        <f t="shared" ref="C37:G37" si="15">((1+C35)+(1+C36)-1)*C11-C11</f>
        <v>9.53653896</v>
      </c>
      <c r="D37" s="203">
        <f t="shared" si="15"/>
        <v>9.022104</v>
      </c>
      <c r="E37" s="203">
        <f t="shared" si="15"/>
        <v>6.2962458</v>
      </c>
      <c r="F37" s="203">
        <f t="shared" si="15"/>
        <v>12.34506</v>
      </c>
      <c r="G37" s="203">
        <f t="shared" si="15"/>
        <v>5.03217</v>
      </c>
      <c r="H37" s="203">
        <f>SUM(C37:G37)</f>
        <v>42.23211876</v>
      </c>
      <c r="I37" s="131"/>
      <c r="J37" s="172">
        <f>rounddown(H37-1,0)</f>
        <v>41</v>
      </c>
      <c r="K37" s="172">
        <f>ROUNDUP(H37-1,0)+1</f>
        <v>43</v>
      </c>
      <c r="L37" s="131"/>
      <c r="M37" s="153" t="s">
        <v>333</v>
      </c>
      <c r="N37" s="68"/>
      <c r="O37" s="68"/>
    </row>
    <row r="38">
      <c r="A38" s="128"/>
      <c r="B38" s="68"/>
      <c r="C38" s="204"/>
      <c r="D38" s="204"/>
      <c r="E38" s="204"/>
      <c r="F38" s="204"/>
      <c r="G38" s="204"/>
      <c r="H38" s="205"/>
      <c r="I38" s="194"/>
      <c r="J38" s="194"/>
      <c r="K38" s="132"/>
      <c r="L38" s="194"/>
      <c r="M38" s="132"/>
      <c r="N38" s="68"/>
      <c r="O38" s="68"/>
    </row>
    <row r="39">
      <c r="A39" s="128"/>
      <c r="B39" s="187" t="s">
        <v>368</v>
      </c>
      <c r="C39" s="206">
        <f>C37*RESUMEN!$C$15</f>
        <v>5.721923376</v>
      </c>
      <c r="D39" s="206">
        <f>D37*RESUMEN!$C$15</f>
        <v>5.4132624</v>
      </c>
      <c r="E39" s="206">
        <f>E37*RESUMEN!$C$15</f>
        <v>3.77774748</v>
      </c>
      <c r="F39" s="206">
        <f>F37*RESUMEN!$C$15</f>
        <v>7.407036</v>
      </c>
      <c r="G39" s="206">
        <f>G37*RESUMEN!$C$15</f>
        <v>3.019302</v>
      </c>
      <c r="H39" s="303">
        <f>SUM(C39:G39)</f>
        <v>25.33927126</v>
      </c>
      <c r="I39" s="190"/>
      <c r="J39" s="172">
        <f>rounddown(H39-1,0)</f>
        <v>24</v>
      </c>
      <c r="K39" s="172">
        <f>ROUNDUP(H39-1,0)+1</f>
        <v>26</v>
      </c>
      <c r="L39" s="190"/>
      <c r="M39" s="153" t="s">
        <v>333</v>
      </c>
      <c r="N39" s="68"/>
      <c r="O39" s="68"/>
    </row>
    <row r="40">
      <c r="A40" s="128"/>
      <c r="B40" s="68"/>
      <c r="C40" s="175"/>
      <c r="D40" s="175"/>
      <c r="E40" s="175"/>
      <c r="F40" s="175"/>
      <c r="G40" s="175"/>
      <c r="H40" s="176"/>
      <c r="I40" s="194"/>
      <c r="J40" s="194"/>
      <c r="K40" s="132"/>
      <c r="L40" s="194"/>
      <c r="M40" s="132"/>
      <c r="N40" s="68"/>
      <c r="O40" s="68"/>
    </row>
    <row r="41">
      <c r="A41" s="128"/>
      <c r="B41" s="197" t="s">
        <v>369</v>
      </c>
      <c r="C41" s="207">
        <v>0.01</v>
      </c>
      <c r="D41" s="207">
        <v>0.01</v>
      </c>
      <c r="E41" s="207">
        <v>0.01</v>
      </c>
      <c r="F41" s="207">
        <v>0.02</v>
      </c>
      <c r="G41" s="207">
        <v>0.02</v>
      </c>
      <c r="H41" s="176"/>
      <c r="I41" s="194"/>
      <c r="J41" s="194"/>
      <c r="K41" s="142"/>
      <c r="L41" s="194"/>
      <c r="M41" s="142" t="s">
        <v>370</v>
      </c>
      <c r="N41" s="68"/>
      <c r="O41" s="68"/>
    </row>
    <row r="42">
      <c r="A42" s="128"/>
      <c r="B42" s="208" t="s">
        <v>371</v>
      </c>
      <c r="C42" s="209">
        <f t="shared" ref="C42:G42" si="16">C41*C11</f>
        <v>3.17884632</v>
      </c>
      <c r="D42" s="209">
        <f t="shared" si="16"/>
        <v>2.255526</v>
      </c>
      <c r="E42" s="209">
        <f t="shared" si="16"/>
        <v>1.57406145</v>
      </c>
      <c r="F42" s="209">
        <f t="shared" si="16"/>
        <v>3.52716</v>
      </c>
      <c r="G42" s="209">
        <f t="shared" si="16"/>
        <v>2.012868</v>
      </c>
      <c r="H42" s="176"/>
      <c r="I42" s="194"/>
      <c r="J42" s="194"/>
      <c r="K42" s="132"/>
      <c r="L42" s="194"/>
      <c r="M42" s="132"/>
      <c r="N42" s="68"/>
      <c r="O42" s="68"/>
    </row>
    <row r="43">
      <c r="A43" s="128"/>
      <c r="B43" s="68"/>
      <c r="C43" s="175"/>
      <c r="D43" s="175"/>
      <c r="E43" s="175"/>
      <c r="F43" s="175"/>
      <c r="G43" s="175"/>
      <c r="H43" s="176"/>
      <c r="I43" s="194"/>
      <c r="J43" s="194"/>
      <c r="K43" s="132"/>
      <c r="L43" s="194"/>
      <c r="M43" s="132"/>
      <c r="N43" s="68"/>
      <c r="O43" s="68"/>
    </row>
    <row r="44">
      <c r="A44" s="128"/>
      <c r="B44" s="185" t="s">
        <v>372</v>
      </c>
      <c r="C44" s="210">
        <f t="shared" ref="C44:G44" si="17">C24</f>
        <v>0.04</v>
      </c>
      <c r="D44" s="210">
        <f t="shared" si="17"/>
        <v>0.04</v>
      </c>
      <c r="E44" s="210">
        <f t="shared" si="17"/>
        <v>0.04</v>
      </c>
      <c r="F44" s="210">
        <f t="shared" si="17"/>
        <v>0.04</v>
      </c>
      <c r="G44" s="210">
        <f t="shared" si="17"/>
        <v>0.04</v>
      </c>
      <c r="H44" s="176"/>
      <c r="I44" s="194"/>
      <c r="J44" s="194"/>
      <c r="K44" s="132"/>
      <c r="L44" s="194"/>
      <c r="M44" s="132"/>
      <c r="N44" s="68"/>
      <c r="O44" s="68"/>
    </row>
    <row r="45">
      <c r="A45" s="128"/>
      <c r="B45" s="211" t="s">
        <v>373</v>
      </c>
      <c r="C45" s="212">
        <v>0.012</v>
      </c>
      <c r="D45" s="212">
        <v>0.012</v>
      </c>
      <c r="E45" s="212">
        <v>0.012</v>
      </c>
      <c r="F45" s="212">
        <v>0.012</v>
      </c>
      <c r="G45" s="212">
        <v>0.012</v>
      </c>
      <c r="H45" s="176"/>
      <c r="I45" s="194"/>
      <c r="J45" s="194"/>
      <c r="K45" s="132"/>
      <c r="L45" s="194"/>
      <c r="M45" s="132"/>
      <c r="N45" s="68"/>
      <c r="O45" s="68"/>
    </row>
    <row r="46">
      <c r="A46" s="128"/>
      <c r="B46" s="68"/>
      <c r="C46" s="130"/>
      <c r="D46" s="130"/>
      <c r="E46" s="130"/>
      <c r="F46" s="130"/>
      <c r="G46" s="130"/>
      <c r="H46" s="176"/>
      <c r="I46" s="194"/>
      <c r="J46" s="194"/>
      <c r="K46" s="132"/>
      <c r="L46" s="194"/>
      <c r="M46" s="132"/>
      <c r="N46" s="68"/>
      <c r="O46" s="68"/>
    </row>
    <row r="47">
      <c r="A47" s="128"/>
      <c r="B47" s="187" t="s">
        <v>374</v>
      </c>
      <c r="C47" s="203">
        <f t="shared" ref="C47:G47" si="18">(C42+C37)*(C44-C45)</f>
        <v>0.3560307878</v>
      </c>
      <c r="D47" s="203">
        <f t="shared" si="18"/>
        <v>0.31577364</v>
      </c>
      <c r="E47" s="203">
        <f t="shared" si="18"/>
        <v>0.220368603</v>
      </c>
      <c r="F47" s="203">
        <f t="shared" si="18"/>
        <v>0.44442216</v>
      </c>
      <c r="G47" s="203">
        <f t="shared" si="18"/>
        <v>0.197261064</v>
      </c>
      <c r="H47" s="303">
        <f>SUM(C47:G47)</f>
        <v>1.533856255</v>
      </c>
      <c r="I47" s="190"/>
      <c r="J47" s="213">
        <f>if(H47&gt;1,ROUNDUP(H47-1,0),H47)</f>
        <v>1</v>
      </c>
      <c r="K47" s="213">
        <f>if(H47&gt;1,ROUNDUP(H47-1,0),H47)+2</f>
        <v>3</v>
      </c>
      <c r="L47" s="190"/>
      <c r="M47" s="153" t="s">
        <v>333</v>
      </c>
      <c r="N47" s="68"/>
      <c r="O47" s="68"/>
    </row>
    <row r="48">
      <c r="A48" s="128"/>
      <c r="B48" s="68"/>
      <c r="C48" s="96"/>
      <c r="D48" s="96"/>
      <c r="E48" s="96"/>
      <c r="F48" s="96"/>
      <c r="G48" s="96"/>
      <c r="H48" s="176"/>
      <c r="I48" s="169"/>
      <c r="J48" s="169"/>
      <c r="K48" s="132"/>
      <c r="L48" s="169"/>
      <c r="M48" s="132"/>
      <c r="N48" s="68"/>
      <c r="O48" s="68"/>
    </row>
    <row r="49">
      <c r="A49" s="128"/>
      <c r="B49" s="187" t="s">
        <v>375</v>
      </c>
      <c r="C49" s="214">
        <f t="shared" ref="C49:G49" si="19">C47+C39</f>
        <v>6.077954164</v>
      </c>
      <c r="D49" s="214">
        <f t="shared" si="19"/>
        <v>5.72903604</v>
      </c>
      <c r="E49" s="214">
        <f t="shared" si="19"/>
        <v>3.998116083</v>
      </c>
      <c r="F49" s="214">
        <f t="shared" si="19"/>
        <v>7.85145816</v>
      </c>
      <c r="G49" s="214">
        <f t="shared" si="19"/>
        <v>3.216563064</v>
      </c>
      <c r="H49" s="215">
        <f>SUM(C49:G49)</f>
        <v>26.87312751</v>
      </c>
      <c r="I49" s="194"/>
      <c r="J49" s="194"/>
      <c r="K49" s="142"/>
      <c r="L49" s="194"/>
      <c r="M49" s="142" t="s">
        <v>376</v>
      </c>
      <c r="N49" s="68"/>
      <c r="O49" s="68"/>
    </row>
    <row r="50">
      <c r="A50" s="128"/>
      <c r="H50" s="176"/>
      <c r="I50" s="194"/>
      <c r="J50" s="194"/>
      <c r="K50" s="132"/>
      <c r="L50" s="194"/>
      <c r="M50" s="132"/>
      <c r="N50" s="68"/>
      <c r="O50" s="68"/>
    </row>
    <row r="51">
      <c r="A51" s="128"/>
      <c r="H51" s="176"/>
      <c r="I51" s="194"/>
      <c r="J51" s="194"/>
      <c r="K51" s="132"/>
      <c r="L51" s="194"/>
      <c r="M51" s="132"/>
      <c r="N51" s="68"/>
      <c r="O51" s="68"/>
    </row>
    <row r="52">
      <c r="A52" s="128"/>
      <c r="B52" s="68"/>
      <c r="C52" s="175"/>
      <c r="D52" s="175"/>
      <c r="E52" s="175"/>
      <c r="F52" s="175"/>
      <c r="G52" s="175"/>
      <c r="H52" s="176"/>
      <c r="I52" s="194"/>
      <c r="J52" s="194"/>
      <c r="K52" s="132"/>
      <c r="L52" s="194"/>
      <c r="M52" s="132"/>
      <c r="N52" s="68"/>
      <c r="O52" s="68"/>
    </row>
    <row r="53">
      <c r="A53" s="128"/>
      <c r="B53" s="68"/>
      <c r="C53" s="175"/>
      <c r="D53" s="175"/>
      <c r="E53" s="175"/>
      <c r="F53" s="175"/>
      <c r="G53" s="175"/>
      <c r="H53" s="176"/>
      <c r="I53" s="194"/>
      <c r="J53" s="194"/>
      <c r="K53" s="132"/>
      <c r="L53" s="194"/>
      <c r="M53" s="132"/>
      <c r="N53" s="68"/>
      <c r="O53" s="68"/>
    </row>
    <row r="54">
      <c r="A54" s="128"/>
      <c r="B54" s="216"/>
      <c r="C54" s="217"/>
      <c r="D54" s="217"/>
      <c r="E54" s="217"/>
      <c r="F54" s="217"/>
      <c r="G54" s="217"/>
      <c r="H54" s="176"/>
      <c r="I54" s="194"/>
      <c r="J54" s="194"/>
      <c r="K54" s="132"/>
      <c r="L54" s="194"/>
      <c r="M54" s="132"/>
      <c r="N54" s="68"/>
      <c r="O54" s="68"/>
    </row>
    <row r="55">
      <c r="A55" s="128"/>
      <c r="B55" s="216"/>
      <c r="C55" s="217"/>
      <c r="D55" s="217"/>
      <c r="E55" s="217"/>
      <c r="F55" s="217"/>
      <c r="G55" s="217"/>
      <c r="H55" s="176"/>
      <c r="I55" s="194"/>
      <c r="J55" s="194"/>
      <c r="K55" s="132"/>
      <c r="L55" s="194"/>
      <c r="M55" s="132"/>
      <c r="N55" s="68"/>
      <c r="O55" s="68"/>
    </row>
    <row r="56">
      <c r="A56" s="128"/>
      <c r="B56" s="216"/>
      <c r="C56" s="217"/>
      <c r="D56" s="217"/>
      <c r="E56" s="217"/>
      <c r="F56" s="217"/>
      <c r="G56" s="217"/>
      <c r="H56" s="176"/>
      <c r="I56" s="194"/>
      <c r="J56" s="194"/>
      <c r="K56" s="132"/>
      <c r="L56" s="194"/>
      <c r="M56" s="132"/>
      <c r="N56" s="68"/>
      <c r="O56" s="68"/>
    </row>
    <row r="57">
      <c r="A57" s="128"/>
      <c r="B57" s="216"/>
      <c r="C57" s="217"/>
      <c r="D57" s="217"/>
      <c r="E57" s="217"/>
      <c r="F57" s="217"/>
      <c r="G57" s="217"/>
      <c r="H57" s="176"/>
      <c r="I57" s="194"/>
      <c r="J57" s="194"/>
      <c r="K57" s="132"/>
      <c r="L57" s="194"/>
      <c r="M57" s="132"/>
      <c r="N57" s="68"/>
      <c r="O57" s="68"/>
    </row>
    <row r="58">
      <c r="A58" s="128"/>
      <c r="B58" s="216"/>
      <c r="C58" s="217"/>
      <c r="D58" s="217"/>
      <c r="E58" s="217"/>
      <c r="F58" s="217"/>
      <c r="G58" s="217"/>
      <c r="H58" s="176"/>
      <c r="I58" s="194"/>
      <c r="J58" s="194"/>
      <c r="K58" s="132"/>
      <c r="L58" s="194"/>
      <c r="M58" s="132"/>
      <c r="N58" s="68"/>
      <c r="O58" s="68"/>
    </row>
    <row r="59">
      <c r="A59" s="128"/>
      <c r="B59" s="216"/>
      <c r="C59" s="217"/>
      <c r="D59" s="217"/>
      <c r="E59" s="217"/>
      <c r="F59" s="217"/>
      <c r="G59" s="217"/>
      <c r="H59" s="176"/>
      <c r="I59" s="194"/>
      <c r="J59" s="194"/>
      <c r="K59" s="132"/>
      <c r="L59" s="194"/>
      <c r="M59" s="132"/>
      <c r="N59" s="68"/>
      <c r="O59" s="68"/>
    </row>
    <row r="60">
      <c r="A60" s="128"/>
      <c r="B60" s="216"/>
      <c r="C60" s="217"/>
      <c r="D60" s="217"/>
      <c r="E60" s="217"/>
      <c r="F60" s="217"/>
      <c r="G60" s="217"/>
      <c r="H60" s="176"/>
      <c r="I60" s="194"/>
      <c r="J60" s="194"/>
      <c r="K60" s="132"/>
      <c r="L60" s="194"/>
      <c r="M60" s="132"/>
      <c r="N60" s="68"/>
      <c r="O60" s="68"/>
    </row>
    <row r="61">
      <c r="A61" s="128"/>
      <c r="B61" s="216"/>
      <c r="C61" s="217"/>
      <c r="D61" s="217"/>
      <c r="E61" s="217"/>
      <c r="F61" s="217"/>
      <c r="G61" s="217"/>
      <c r="H61" s="176"/>
      <c r="I61" s="194"/>
      <c r="J61" s="194"/>
      <c r="K61" s="132"/>
      <c r="L61" s="194"/>
      <c r="M61" s="132"/>
      <c r="N61" s="68"/>
      <c r="O61" s="68"/>
    </row>
    <row r="62">
      <c r="A62" s="128"/>
      <c r="B62" s="216"/>
      <c r="C62" s="217"/>
      <c r="D62" s="217"/>
      <c r="E62" s="217"/>
      <c r="F62" s="217"/>
      <c r="G62" s="217"/>
      <c r="H62" s="176"/>
      <c r="I62" s="194"/>
      <c r="J62" s="194"/>
      <c r="K62" s="132"/>
      <c r="L62" s="194"/>
      <c r="M62" s="132"/>
      <c r="N62" s="68"/>
      <c r="O62" s="68"/>
    </row>
    <row r="63">
      <c r="A63" s="128"/>
      <c r="B63" s="216"/>
      <c r="C63" s="217"/>
      <c r="D63" s="217"/>
      <c r="E63" s="217"/>
      <c r="F63" s="217"/>
      <c r="G63" s="217"/>
      <c r="H63" s="176"/>
      <c r="I63" s="194"/>
      <c r="J63" s="194"/>
      <c r="K63" s="132"/>
      <c r="L63" s="194"/>
      <c r="M63" s="132"/>
      <c r="N63" s="68"/>
      <c r="O63" s="68"/>
    </row>
    <row r="64">
      <c r="A64" s="128"/>
      <c r="B64" s="216"/>
      <c r="C64" s="217"/>
      <c r="D64" s="217"/>
      <c r="E64" s="217"/>
      <c r="F64" s="217"/>
      <c r="G64" s="217"/>
      <c r="H64" s="176"/>
      <c r="I64" s="194"/>
      <c r="J64" s="194"/>
      <c r="K64" s="132"/>
      <c r="L64" s="194"/>
      <c r="M64" s="132"/>
      <c r="N64" s="68"/>
      <c r="O64" s="68"/>
    </row>
    <row r="65">
      <c r="A65" s="128"/>
      <c r="B65" s="216"/>
      <c r="C65" s="217"/>
      <c r="D65" s="217"/>
      <c r="E65" s="217"/>
      <c r="F65" s="217"/>
      <c r="G65" s="217"/>
      <c r="H65" s="176"/>
      <c r="I65" s="194"/>
      <c r="J65" s="194"/>
      <c r="K65" s="132"/>
      <c r="L65" s="194"/>
      <c r="M65" s="132"/>
      <c r="N65" s="68"/>
      <c r="O65" s="68"/>
    </row>
    <row r="66">
      <c r="A66" s="128"/>
      <c r="B66" s="216"/>
      <c r="C66" s="217"/>
      <c r="D66" s="217"/>
      <c r="E66" s="217"/>
      <c r="F66" s="217"/>
      <c r="G66" s="217"/>
      <c r="H66" s="176"/>
      <c r="I66" s="194"/>
      <c r="J66" s="194"/>
      <c r="K66" s="132"/>
      <c r="L66" s="194"/>
      <c r="M66" s="132"/>
      <c r="N66" s="68"/>
      <c r="O66" s="68"/>
    </row>
    <row r="67">
      <c r="A67" s="128"/>
      <c r="B67" s="216"/>
      <c r="C67" s="217"/>
      <c r="D67" s="217"/>
      <c r="E67" s="217"/>
      <c r="F67" s="217"/>
      <c r="G67" s="217"/>
      <c r="H67" s="176"/>
      <c r="I67" s="194"/>
      <c r="J67" s="194"/>
      <c r="K67" s="132"/>
      <c r="L67" s="194"/>
      <c r="M67" s="132"/>
      <c r="N67" s="68"/>
      <c r="O67" s="68"/>
    </row>
    <row r="68">
      <c r="A68" s="128"/>
      <c r="B68" s="216"/>
      <c r="C68" s="217"/>
      <c r="D68" s="217"/>
      <c r="E68" s="217"/>
      <c r="F68" s="217"/>
      <c r="G68" s="217"/>
      <c r="H68" s="176"/>
      <c r="I68" s="194"/>
      <c r="J68" s="194"/>
      <c r="K68" s="132"/>
      <c r="L68" s="194"/>
      <c r="M68" s="132"/>
      <c r="N68" s="68"/>
      <c r="O68" s="68"/>
    </row>
    <row r="69">
      <c r="A69" s="128"/>
      <c r="B69" s="216"/>
      <c r="C69" s="217"/>
      <c r="D69" s="217"/>
      <c r="E69" s="217"/>
      <c r="F69" s="217"/>
      <c r="G69" s="217"/>
      <c r="H69" s="176"/>
      <c r="I69" s="194"/>
      <c r="J69" s="194"/>
      <c r="K69" s="132"/>
      <c r="L69" s="194"/>
      <c r="M69" s="132"/>
      <c r="N69" s="68"/>
      <c r="O69" s="68"/>
    </row>
    <row r="70">
      <c r="A70" s="128"/>
      <c r="B70" s="216"/>
      <c r="C70" s="217"/>
      <c r="D70" s="217"/>
      <c r="E70" s="217"/>
      <c r="F70" s="217"/>
      <c r="G70" s="217"/>
      <c r="H70" s="176"/>
      <c r="I70" s="194"/>
      <c r="J70" s="194"/>
      <c r="K70" s="132"/>
      <c r="L70" s="194"/>
      <c r="M70" s="132"/>
      <c r="N70" s="68"/>
      <c r="O70" s="68"/>
    </row>
    <row r="71">
      <c r="A71" s="128"/>
      <c r="B71" s="216"/>
      <c r="C71" s="217"/>
      <c r="D71" s="217"/>
      <c r="E71" s="217"/>
      <c r="F71" s="217"/>
      <c r="G71" s="217"/>
      <c r="H71" s="176"/>
      <c r="I71" s="194"/>
      <c r="J71" s="194"/>
      <c r="K71" s="132"/>
      <c r="L71" s="194"/>
      <c r="M71" s="132"/>
      <c r="N71" s="68"/>
      <c r="O71" s="68"/>
    </row>
    <row r="72">
      <c r="A72" s="128"/>
      <c r="B72" s="216"/>
      <c r="C72" s="217"/>
      <c r="D72" s="217"/>
      <c r="E72" s="217"/>
      <c r="F72" s="217"/>
      <c r="G72" s="217"/>
      <c r="H72" s="176"/>
      <c r="I72" s="194"/>
      <c r="J72" s="194"/>
      <c r="K72" s="132"/>
      <c r="L72" s="194"/>
      <c r="M72" s="132"/>
      <c r="N72" s="68"/>
      <c r="O72" s="68"/>
    </row>
    <row r="73">
      <c r="A73" s="128"/>
      <c r="B73" s="216"/>
      <c r="C73" s="217"/>
      <c r="D73" s="217"/>
      <c r="E73" s="217"/>
      <c r="F73" s="217"/>
      <c r="G73" s="217"/>
      <c r="H73" s="176"/>
      <c r="I73" s="194"/>
      <c r="J73" s="194"/>
      <c r="K73" s="132"/>
      <c r="L73" s="194"/>
      <c r="M73" s="132"/>
      <c r="N73" s="68"/>
      <c r="O73" s="68"/>
    </row>
    <row r="74">
      <c r="A74" s="128"/>
      <c r="B74" s="216"/>
      <c r="C74" s="217"/>
      <c r="D74" s="217"/>
      <c r="E74" s="217"/>
      <c r="F74" s="217"/>
      <c r="G74" s="217"/>
      <c r="H74" s="176"/>
      <c r="I74" s="194"/>
      <c r="J74" s="194"/>
      <c r="K74" s="132"/>
      <c r="L74" s="194"/>
      <c r="M74" s="132"/>
      <c r="N74" s="68"/>
      <c r="O74" s="68"/>
    </row>
    <row r="75">
      <c r="A75" s="128"/>
      <c r="B75" s="216"/>
      <c r="C75" s="217"/>
      <c r="D75" s="217"/>
      <c r="E75" s="217"/>
      <c r="F75" s="217"/>
      <c r="G75" s="217"/>
      <c r="H75" s="176"/>
      <c r="I75" s="194"/>
      <c r="J75" s="194"/>
      <c r="K75" s="132"/>
      <c r="L75" s="194"/>
      <c r="M75" s="132"/>
      <c r="N75" s="68"/>
      <c r="O75" s="68"/>
    </row>
    <row r="76">
      <c r="A76" s="128"/>
      <c r="B76" s="216"/>
      <c r="C76" s="217"/>
      <c r="D76" s="217"/>
      <c r="E76" s="217"/>
      <c r="F76" s="217"/>
      <c r="G76" s="217"/>
      <c r="H76" s="176"/>
      <c r="I76" s="194"/>
      <c r="J76" s="194"/>
      <c r="K76" s="132"/>
      <c r="L76" s="194"/>
      <c r="M76" s="132"/>
      <c r="N76" s="68"/>
      <c r="O76" s="68"/>
    </row>
    <row r="77">
      <c r="A77" s="128"/>
      <c r="B77" s="216"/>
      <c r="C77" s="217"/>
      <c r="D77" s="217"/>
      <c r="E77" s="217"/>
      <c r="F77" s="217"/>
      <c r="G77" s="217"/>
      <c r="H77" s="176"/>
      <c r="I77" s="194"/>
      <c r="J77" s="194"/>
      <c r="K77" s="132"/>
      <c r="L77" s="194"/>
      <c r="M77" s="132"/>
      <c r="N77" s="68"/>
      <c r="O77" s="68"/>
    </row>
    <row r="78">
      <c r="A78" s="128"/>
      <c r="B78" s="216"/>
      <c r="C78" s="217"/>
      <c r="D78" s="217"/>
      <c r="E78" s="217"/>
      <c r="F78" s="217"/>
      <c r="G78" s="217"/>
      <c r="H78" s="176"/>
      <c r="I78" s="194"/>
      <c r="J78" s="194"/>
      <c r="K78" s="132"/>
      <c r="L78" s="194"/>
      <c r="M78" s="132"/>
      <c r="N78" s="68"/>
      <c r="O78" s="68"/>
    </row>
    <row r="79">
      <c r="A79" s="128"/>
      <c r="B79" s="216"/>
      <c r="C79" s="217"/>
      <c r="D79" s="217"/>
      <c r="E79" s="217"/>
      <c r="F79" s="217"/>
      <c r="G79" s="217"/>
      <c r="H79" s="176"/>
      <c r="I79" s="194"/>
      <c r="J79" s="194"/>
      <c r="K79" s="132"/>
      <c r="L79" s="194"/>
      <c r="M79" s="132"/>
      <c r="N79" s="68"/>
      <c r="O79" s="68"/>
    </row>
    <row r="80">
      <c r="A80" s="128"/>
      <c r="B80" s="216"/>
      <c r="C80" s="217"/>
      <c r="D80" s="217"/>
      <c r="E80" s="217"/>
      <c r="F80" s="217"/>
      <c r="G80" s="217"/>
      <c r="H80" s="176"/>
      <c r="I80" s="194"/>
      <c r="J80" s="194"/>
      <c r="K80" s="132"/>
      <c r="L80" s="194"/>
      <c r="M80" s="132"/>
      <c r="N80" s="68"/>
      <c r="O80" s="68"/>
    </row>
    <row r="81">
      <c r="A81" s="128"/>
      <c r="B81" s="216"/>
      <c r="C81" s="217"/>
      <c r="D81" s="217"/>
      <c r="E81" s="217"/>
      <c r="F81" s="217"/>
      <c r="G81" s="217"/>
      <c r="H81" s="176"/>
      <c r="I81" s="194"/>
      <c r="J81" s="194"/>
      <c r="K81" s="132"/>
      <c r="L81" s="194"/>
      <c r="M81" s="132"/>
      <c r="N81" s="68"/>
      <c r="O81" s="68"/>
    </row>
    <row r="82">
      <c r="A82" s="128"/>
      <c r="B82" s="216"/>
      <c r="C82" s="217"/>
      <c r="D82" s="217"/>
      <c r="E82" s="217"/>
      <c r="F82" s="217"/>
      <c r="G82" s="217"/>
      <c r="H82" s="176"/>
      <c r="I82" s="194"/>
      <c r="J82" s="194"/>
      <c r="K82" s="132"/>
      <c r="L82" s="194"/>
      <c r="M82" s="132"/>
      <c r="N82" s="68"/>
      <c r="O82" s="68"/>
    </row>
    <row r="83">
      <c r="A83" s="128"/>
      <c r="B83" s="216"/>
      <c r="C83" s="217"/>
      <c r="D83" s="217"/>
      <c r="E83" s="217"/>
      <c r="F83" s="217"/>
      <c r="G83" s="217"/>
      <c r="H83" s="176"/>
      <c r="I83" s="194"/>
      <c r="J83" s="194"/>
      <c r="K83" s="132"/>
      <c r="L83" s="194"/>
      <c r="M83" s="132"/>
      <c r="N83" s="68"/>
      <c r="O83" s="68"/>
    </row>
    <row r="84">
      <c r="A84" s="128"/>
      <c r="B84" s="216"/>
      <c r="C84" s="217"/>
      <c r="D84" s="217"/>
      <c r="E84" s="217"/>
      <c r="F84" s="217"/>
      <c r="G84" s="217"/>
      <c r="H84" s="176"/>
      <c r="I84" s="194"/>
      <c r="J84" s="194"/>
      <c r="K84" s="132"/>
      <c r="L84" s="194"/>
      <c r="M84" s="132"/>
      <c r="N84" s="68"/>
      <c r="O84" s="68"/>
    </row>
    <row r="85">
      <c r="A85" s="128"/>
      <c r="B85" s="216"/>
      <c r="C85" s="217"/>
      <c r="D85" s="217"/>
      <c r="E85" s="217"/>
      <c r="F85" s="217"/>
      <c r="G85" s="217"/>
      <c r="H85" s="176"/>
      <c r="I85" s="194"/>
      <c r="J85" s="194"/>
      <c r="K85" s="132"/>
      <c r="L85" s="194"/>
      <c r="M85" s="132"/>
      <c r="N85" s="68"/>
      <c r="O85" s="68"/>
    </row>
    <row r="86">
      <c r="A86" s="128"/>
      <c r="B86" s="216"/>
      <c r="C86" s="217"/>
      <c r="D86" s="217"/>
      <c r="E86" s="217"/>
      <c r="F86" s="217"/>
      <c r="G86" s="217"/>
      <c r="H86" s="176"/>
      <c r="I86" s="194"/>
      <c r="J86" s="194"/>
      <c r="K86" s="132"/>
      <c r="L86" s="194"/>
      <c r="M86" s="132"/>
      <c r="N86" s="68"/>
      <c r="O86" s="68"/>
    </row>
    <row r="87">
      <c r="A87" s="128"/>
      <c r="B87" s="216"/>
      <c r="C87" s="217"/>
      <c r="D87" s="217"/>
      <c r="E87" s="217"/>
      <c r="F87" s="217"/>
      <c r="G87" s="217"/>
      <c r="H87" s="176"/>
      <c r="I87" s="194"/>
      <c r="J87" s="194"/>
      <c r="K87" s="132"/>
      <c r="L87" s="194"/>
      <c r="M87" s="132"/>
      <c r="N87" s="68"/>
      <c r="O87" s="68"/>
    </row>
    <row r="88">
      <c r="A88" s="128"/>
      <c r="B88" s="216"/>
      <c r="C88" s="217"/>
      <c r="D88" s="217"/>
      <c r="E88" s="217"/>
      <c r="F88" s="217"/>
      <c r="G88" s="217"/>
      <c r="H88" s="176"/>
      <c r="I88" s="194"/>
      <c r="J88" s="194"/>
      <c r="K88" s="132"/>
      <c r="L88" s="194"/>
      <c r="M88" s="132"/>
      <c r="N88" s="68"/>
      <c r="O88" s="68"/>
    </row>
    <row r="89">
      <c r="A89" s="128"/>
      <c r="B89" s="216"/>
      <c r="C89" s="217"/>
      <c r="D89" s="217"/>
      <c r="E89" s="217"/>
      <c r="F89" s="217"/>
      <c r="G89" s="217"/>
      <c r="H89" s="176"/>
      <c r="I89" s="194"/>
      <c r="J89" s="194"/>
      <c r="K89" s="132"/>
      <c r="L89" s="194"/>
      <c r="M89" s="132"/>
      <c r="N89" s="68"/>
      <c r="O89" s="68"/>
    </row>
  </sheetData>
  <mergeCells count="1">
    <mergeCell ref="C2: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8"/>
      <c r="B1" s="68"/>
      <c r="C1" s="175"/>
      <c r="D1" s="128"/>
      <c r="E1" s="129"/>
      <c r="F1" s="130"/>
      <c r="G1" s="130"/>
      <c r="H1" s="130"/>
      <c r="I1" s="130"/>
      <c r="J1" s="130"/>
      <c r="K1" s="218"/>
      <c r="L1" s="218"/>
      <c r="M1" s="68"/>
      <c r="N1" s="68"/>
      <c r="O1" s="68"/>
      <c r="P1" s="68"/>
      <c r="Q1" s="68"/>
    </row>
    <row r="2">
      <c r="A2" s="68"/>
      <c r="B2" s="221" t="s">
        <v>267</v>
      </c>
      <c r="C2" s="222" t="s">
        <v>444</v>
      </c>
      <c r="D2" s="133"/>
      <c r="E2" s="134"/>
      <c r="F2" s="135" t="s">
        <v>377</v>
      </c>
      <c r="K2" s="218"/>
      <c r="L2" s="218"/>
      <c r="M2" s="68"/>
      <c r="N2" s="68"/>
      <c r="O2" s="68"/>
      <c r="P2" s="68"/>
      <c r="Q2" s="68"/>
    </row>
    <row r="3">
      <c r="A3" s="68"/>
      <c r="B3" s="248"/>
      <c r="C3" s="133"/>
      <c r="D3" s="133"/>
      <c r="E3" s="136" t="s">
        <v>311</v>
      </c>
      <c r="F3" s="300" t="str">
        <f>'BC Pay-ins APAC'!C3</f>
        <v>Indonesia</v>
      </c>
      <c r="G3" s="300" t="str">
        <f>'BC Pay-ins APAC'!D3</f>
        <v>India</v>
      </c>
      <c r="H3" s="300" t="str">
        <f>'BC Pay-ins APAC'!E3</f>
        <v>Philippines</v>
      </c>
      <c r="I3" s="300" t="str">
        <f>'BC Pay-ins APAC'!F3</f>
        <v>Japan</v>
      </c>
      <c r="J3" s="300" t="str">
        <f>'BC Pay-ins APAC'!G3</f>
        <v>Vietnam</v>
      </c>
      <c r="K3" s="138" t="s">
        <v>378</v>
      </c>
      <c r="L3" s="138" t="s">
        <v>379</v>
      </c>
      <c r="M3" s="138" t="s">
        <v>380</v>
      </c>
      <c r="N3" s="68"/>
      <c r="O3" s="68"/>
      <c r="P3" s="68"/>
      <c r="Q3" s="68"/>
    </row>
    <row r="4">
      <c r="A4" s="68"/>
      <c r="B4" s="219" t="s">
        <v>84</v>
      </c>
      <c r="C4" s="220" t="s">
        <v>9</v>
      </c>
      <c r="D4" s="133"/>
      <c r="E4" s="223" t="s">
        <v>353</v>
      </c>
      <c r="F4" s="224"/>
      <c r="G4" s="224"/>
      <c r="H4" s="224"/>
      <c r="I4" s="224"/>
      <c r="J4" s="224"/>
      <c r="K4" s="223"/>
      <c r="L4" s="223"/>
      <c r="M4" s="223"/>
      <c r="N4" s="68"/>
      <c r="O4" s="68"/>
      <c r="P4" s="117" t="s">
        <v>445</v>
      </c>
      <c r="Q4" s="68"/>
    </row>
    <row r="5">
      <c r="A5" s="68"/>
      <c r="B5" s="225" t="s">
        <v>28</v>
      </c>
      <c r="C5" s="226" t="s">
        <v>69</v>
      </c>
      <c r="D5" s="133"/>
      <c r="E5" s="197" t="s">
        <v>361</v>
      </c>
      <c r="F5" s="227">
        <f>'BC Pay-ins APAC'!C33</f>
        <v>0</v>
      </c>
      <c r="G5" s="227">
        <f>'BC Pay-ins APAC'!D33</f>
        <v>0</v>
      </c>
      <c r="H5" s="227">
        <f>'BC Pay-ins APAC'!E33</f>
        <v>1</v>
      </c>
      <c r="I5" s="227">
        <f>'BC Pay-ins APAC'!F33</f>
        <v>0</v>
      </c>
      <c r="J5" s="227">
        <f>'BC Pay-ins APAC'!G33</f>
        <v>0</v>
      </c>
      <c r="L5" s="228">
        <f t="shared" ref="L5:L6" si="1">SUM(F5:J5)</f>
        <v>1</v>
      </c>
      <c r="M5" s="133"/>
      <c r="N5" s="96"/>
      <c r="O5" s="68"/>
      <c r="P5" s="68"/>
      <c r="Q5" s="68"/>
    </row>
    <row r="6">
      <c r="A6" s="68"/>
      <c r="B6" s="68"/>
      <c r="C6" s="175"/>
      <c r="D6" s="133"/>
      <c r="E6" s="198" t="s">
        <v>363</v>
      </c>
      <c r="F6" s="227">
        <f>'BC Pay-ins APAC'!C34</f>
        <v>1</v>
      </c>
      <c r="G6" s="227">
        <f>'BC Pay-ins APAC'!D34</f>
        <v>2</v>
      </c>
      <c r="H6" s="227">
        <f>'BC Pay-ins APAC'!E34</f>
        <v>2</v>
      </c>
      <c r="I6" s="227">
        <f>'BC Pay-ins APAC'!F34</f>
        <v>3</v>
      </c>
      <c r="J6" s="227">
        <f>'BC Pay-ins APAC'!G34</f>
        <v>2</v>
      </c>
      <c r="L6" s="304">
        <f t="shared" si="1"/>
        <v>10</v>
      </c>
      <c r="M6" s="133"/>
      <c r="N6" s="96"/>
      <c r="O6" s="68"/>
      <c r="P6" s="68"/>
      <c r="Q6" s="68"/>
    </row>
    <row r="7">
      <c r="A7" s="68"/>
      <c r="B7" s="68"/>
      <c r="C7" s="68"/>
      <c r="D7" s="133"/>
      <c r="E7" s="197" t="s">
        <v>382</v>
      </c>
      <c r="F7" s="230">
        <f t="shared" ref="F7:J7" si="2">$C$11</f>
        <v>3</v>
      </c>
      <c r="G7" s="230">
        <f t="shared" si="2"/>
        <v>3</v>
      </c>
      <c r="H7" s="230">
        <f t="shared" si="2"/>
        <v>3</v>
      </c>
      <c r="I7" s="230">
        <f t="shared" si="2"/>
        <v>3</v>
      </c>
      <c r="J7" s="230">
        <f t="shared" si="2"/>
        <v>3</v>
      </c>
      <c r="L7" s="231">
        <v>3.0</v>
      </c>
      <c r="M7" s="133"/>
      <c r="N7" s="96"/>
      <c r="O7" s="68"/>
      <c r="P7" s="68"/>
      <c r="Q7" s="68"/>
    </row>
    <row r="8">
      <c r="A8" s="68"/>
      <c r="B8" s="232"/>
      <c r="C8" s="233"/>
      <c r="D8" s="133"/>
      <c r="E8" s="170" t="s">
        <v>383</v>
      </c>
      <c r="F8" s="234">
        <f t="shared" ref="F8:J8" si="3">F7*F6</f>
        <v>3</v>
      </c>
      <c r="G8" s="234">
        <f t="shared" si="3"/>
        <v>6</v>
      </c>
      <c r="H8" s="234">
        <f t="shared" si="3"/>
        <v>6</v>
      </c>
      <c r="I8" s="234">
        <f t="shared" si="3"/>
        <v>9</v>
      </c>
      <c r="J8" s="234">
        <f t="shared" si="3"/>
        <v>6</v>
      </c>
      <c r="K8" s="235"/>
      <c r="L8" s="305">
        <f>SUM(F8:J8)</f>
        <v>30</v>
      </c>
      <c r="M8" s="133"/>
      <c r="N8" s="96"/>
      <c r="O8" s="68"/>
      <c r="P8" s="68"/>
      <c r="Q8" s="68"/>
    </row>
    <row r="9">
      <c r="A9" s="68"/>
      <c r="B9" s="237" t="s">
        <v>292</v>
      </c>
      <c r="C9" s="238"/>
      <c r="D9" s="133"/>
      <c r="E9" s="166" t="s">
        <v>384</v>
      </c>
      <c r="F9" s="235"/>
      <c r="G9" s="235"/>
      <c r="H9" s="235"/>
      <c r="I9" s="235"/>
      <c r="J9" s="235"/>
      <c r="K9" s="239">
        <f>SUM(K10:K16)</f>
        <v>21600</v>
      </c>
      <c r="L9" s="240"/>
      <c r="M9" s="306">
        <f>SUM(M10:M16)</f>
        <v>648000</v>
      </c>
      <c r="N9" s="242" t="s">
        <v>20</v>
      </c>
      <c r="P9" s="68"/>
    </row>
    <row r="10" outlineLevel="1">
      <c r="A10" s="68"/>
      <c r="B10" s="243" t="s">
        <v>385</v>
      </c>
      <c r="C10" s="243" t="s">
        <v>386</v>
      </c>
      <c r="D10" s="133"/>
      <c r="E10" s="244" t="s">
        <v>387</v>
      </c>
      <c r="F10" s="245" t="s">
        <v>388</v>
      </c>
      <c r="G10" s="245" t="s">
        <v>388</v>
      </c>
      <c r="H10" s="245" t="s">
        <v>388</v>
      </c>
      <c r="I10" s="245" t="s">
        <v>388</v>
      </c>
      <c r="J10" s="245" t="s">
        <v>388</v>
      </c>
      <c r="K10" s="246">
        <v>2250.0</v>
      </c>
      <c r="L10" s="246">
        <f>$K$10*$L$7</f>
        <v>6750</v>
      </c>
      <c r="M10" s="247">
        <f t="shared" ref="M10:M16" si="4">L10*$L$6</f>
        <v>67500</v>
      </c>
      <c r="N10" s="96"/>
    </row>
    <row r="11" outlineLevel="1">
      <c r="A11" s="68"/>
      <c r="B11" s="248" t="s">
        <v>446</v>
      </c>
      <c r="C11" s="249">
        <v>3.0</v>
      </c>
      <c r="D11" s="133"/>
      <c r="E11" s="244" t="s">
        <v>390</v>
      </c>
      <c r="F11" s="245" t="s">
        <v>388</v>
      </c>
      <c r="G11" s="245" t="s">
        <v>388</v>
      </c>
      <c r="H11" s="245" t="s">
        <v>388</v>
      </c>
      <c r="I11" s="245" t="s">
        <v>388</v>
      </c>
      <c r="J11" s="245" t="s">
        <v>388</v>
      </c>
      <c r="K11" s="246">
        <v>10500.0</v>
      </c>
      <c r="L11" s="246">
        <f>$K$11*$L$7</f>
        <v>31500</v>
      </c>
      <c r="M11" s="247">
        <f t="shared" si="4"/>
        <v>315000</v>
      </c>
      <c r="N11" s="96"/>
    </row>
    <row r="12" outlineLevel="1">
      <c r="A12" s="68"/>
      <c r="B12" s="117" t="s">
        <v>391</v>
      </c>
      <c r="C12" s="250">
        <v>4.0</v>
      </c>
      <c r="D12" s="133"/>
      <c r="E12" s="244" t="s">
        <v>392</v>
      </c>
      <c r="F12" s="245" t="s">
        <v>388</v>
      </c>
      <c r="G12" s="245" t="s">
        <v>388</v>
      </c>
      <c r="H12" s="245" t="s">
        <v>388</v>
      </c>
      <c r="I12" s="245" t="s">
        <v>388</v>
      </c>
      <c r="J12" s="245" t="s">
        <v>388</v>
      </c>
      <c r="K12" s="246">
        <v>2250.0</v>
      </c>
      <c r="L12" s="246">
        <f>$K$12*$L$7</f>
        <v>6750</v>
      </c>
      <c r="M12" s="247">
        <f t="shared" si="4"/>
        <v>67500</v>
      </c>
      <c r="N12" s="96"/>
    </row>
    <row r="13" outlineLevel="1">
      <c r="A13" s="68"/>
      <c r="B13" s="243"/>
      <c r="C13" s="251"/>
      <c r="D13" s="133"/>
      <c r="E13" s="244" t="s">
        <v>393</v>
      </c>
      <c r="F13" s="245" t="s">
        <v>388</v>
      </c>
      <c r="G13" s="245" t="s">
        <v>388</v>
      </c>
      <c r="H13" s="245" t="s">
        <v>388</v>
      </c>
      <c r="I13" s="245" t="s">
        <v>388</v>
      </c>
      <c r="J13" s="245" t="s">
        <v>388</v>
      </c>
      <c r="K13" s="246">
        <v>1350.0</v>
      </c>
      <c r="L13" s="246">
        <f>$K$13*$L$7</f>
        <v>4050</v>
      </c>
      <c r="M13" s="247">
        <f t="shared" si="4"/>
        <v>40500</v>
      </c>
      <c r="N13" s="96"/>
    </row>
    <row r="14" outlineLevel="1">
      <c r="A14" s="68"/>
      <c r="B14" s="103" t="s">
        <v>14</v>
      </c>
      <c r="C14" s="104" t="s">
        <v>13</v>
      </c>
      <c r="D14" s="133"/>
      <c r="E14" s="244" t="s">
        <v>394</v>
      </c>
      <c r="F14" s="245" t="s">
        <v>388</v>
      </c>
      <c r="G14" s="245" t="s">
        <v>388</v>
      </c>
      <c r="H14" s="245" t="s">
        <v>388</v>
      </c>
      <c r="I14" s="245" t="s">
        <v>388</v>
      </c>
      <c r="J14" s="245" t="s">
        <v>388</v>
      </c>
      <c r="K14" s="246">
        <v>1500.0</v>
      </c>
      <c r="L14" s="246">
        <f>$K$14*$L$7</f>
        <v>4500</v>
      </c>
      <c r="M14" s="247">
        <f t="shared" si="4"/>
        <v>45000</v>
      </c>
      <c r="N14" s="96"/>
    </row>
    <row r="15" outlineLevel="1">
      <c r="A15" s="68"/>
      <c r="B15" s="106" t="s">
        <v>16</v>
      </c>
      <c r="C15" s="252" t="s">
        <v>15</v>
      </c>
      <c r="D15" s="133"/>
      <c r="E15" s="244" t="s">
        <v>395</v>
      </c>
      <c r="F15" s="245" t="s">
        <v>388</v>
      </c>
      <c r="G15" s="245" t="s">
        <v>388</v>
      </c>
      <c r="H15" s="245" t="s">
        <v>388</v>
      </c>
      <c r="I15" s="245" t="s">
        <v>388</v>
      </c>
      <c r="J15" s="245" t="s">
        <v>388</v>
      </c>
      <c r="K15" s="246">
        <v>1125.0</v>
      </c>
      <c r="L15" s="246">
        <f>$K$15*$L$7</f>
        <v>3375</v>
      </c>
      <c r="M15" s="247">
        <f t="shared" si="4"/>
        <v>33750</v>
      </c>
      <c r="N15" s="96"/>
    </row>
    <row r="16" outlineLevel="1">
      <c r="A16" s="68"/>
      <c r="B16" s="109" t="s">
        <v>18</v>
      </c>
      <c r="C16" s="253" t="s">
        <v>396</v>
      </c>
      <c r="D16" s="133"/>
      <c r="E16" s="254" t="s">
        <v>397</v>
      </c>
      <c r="F16" s="245" t="s">
        <v>388</v>
      </c>
      <c r="G16" s="245" t="s">
        <v>388</v>
      </c>
      <c r="H16" s="245" t="s">
        <v>388</v>
      </c>
      <c r="I16" s="245" t="s">
        <v>388</v>
      </c>
      <c r="J16" s="245" t="s">
        <v>388</v>
      </c>
      <c r="K16" s="255">
        <v>2625.0</v>
      </c>
      <c r="L16" s="246">
        <f>$K$16*$L$7</f>
        <v>7875</v>
      </c>
      <c r="M16" s="256">
        <f t="shared" si="4"/>
        <v>78750</v>
      </c>
      <c r="N16" s="96"/>
      <c r="O16" s="68"/>
      <c r="P16" s="68"/>
      <c r="Q16" s="68"/>
    </row>
    <row r="17" outlineLevel="1">
      <c r="A17" s="68"/>
      <c r="B17" s="111" t="s">
        <v>20</v>
      </c>
      <c r="C17" s="112" t="s">
        <v>301</v>
      </c>
      <c r="D17" s="133"/>
      <c r="E17" s="257"/>
      <c r="F17" s="258"/>
      <c r="G17" s="258"/>
      <c r="H17" s="258"/>
      <c r="I17" s="258"/>
      <c r="J17" s="258"/>
      <c r="K17" s="259"/>
      <c r="L17" s="259"/>
      <c r="M17" s="133"/>
      <c r="N17" s="96"/>
      <c r="O17" s="68"/>
      <c r="P17" s="68"/>
      <c r="Q17" s="68"/>
    </row>
    <row r="18">
      <c r="A18" s="68"/>
      <c r="D18" s="128"/>
      <c r="E18" s="223" t="s">
        <v>337</v>
      </c>
      <c r="F18" s="260"/>
      <c r="G18" s="260"/>
      <c r="H18" s="260"/>
      <c r="I18" s="260"/>
      <c r="J18" s="260"/>
      <c r="K18" s="223"/>
      <c r="L18" s="223"/>
      <c r="M18" s="223"/>
      <c r="N18" s="68"/>
      <c r="O18" s="68"/>
      <c r="P18" s="68"/>
      <c r="Q18" s="68"/>
    </row>
    <row r="19">
      <c r="A19" s="68"/>
      <c r="B19" s="261"/>
      <c r="C19" s="262"/>
      <c r="D19" s="128"/>
      <c r="E19" s="179" t="s">
        <v>342</v>
      </c>
      <c r="F19" s="263" t="str">
        <f>'BC Pay-ins APAC'!C23</f>
        <v>No</v>
      </c>
      <c r="G19" s="263" t="str">
        <f>'BC Pay-ins APAC'!D23</f>
        <v>No</v>
      </c>
      <c r="H19" s="263" t="str">
        <f>'BC Pay-ins APAC'!E23</f>
        <v>No</v>
      </c>
      <c r="I19" s="263" t="str">
        <f>'BC Pay-ins APAC'!F23</f>
        <v>No</v>
      </c>
      <c r="J19" s="263" t="str">
        <f>'BC Pay-ins APAC'!G23</f>
        <v>No</v>
      </c>
      <c r="L19" s="264"/>
      <c r="M19" s="133"/>
      <c r="N19" s="68"/>
      <c r="O19" s="68"/>
      <c r="P19" s="68"/>
      <c r="Q19" s="68"/>
    </row>
    <row r="20">
      <c r="A20" s="68"/>
      <c r="B20" s="117"/>
      <c r="C20" s="176"/>
      <c r="D20" s="128"/>
      <c r="E20" s="198" t="s">
        <v>398</v>
      </c>
      <c r="F20" s="265" t="str">
        <f t="shared" ref="F20:J20" si="5">if(F19="Yes","No","Yes")</f>
        <v>Yes</v>
      </c>
      <c r="G20" s="265" t="str">
        <f t="shared" si="5"/>
        <v>Yes</v>
      </c>
      <c r="H20" s="265" t="str">
        <f t="shared" si="5"/>
        <v>Yes</v>
      </c>
      <c r="I20" s="265" t="str">
        <f t="shared" si="5"/>
        <v>Yes</v>
      </c>
      <c r="J20" s="265" t="str">
        <f t="shared" si="5"/>
        <v>Yes</v>
      </c>
      <c r="L20" s="264"/>
      <c r="M20" s="133"/>
      <c r="N20" s="68"/>
      <c r="O20" s="68"/>
      <c r="P20" s="68"/>
      <c r="Q20" s="68"/>
    </row>
    <row r="21">
      <c r="A21" s="68"/>
      <c r="B21" s="117"/>
      <c r="C21" s="176"/>
      <c r="D21" s="128"/>
      <c r="E21" s="198" t="s">
        <v>399</v>
      </c>
      <c r="F21" s="266">
        <f t="shared" ref="F21:J21" si="6">if(F19="yes",1,2)</f>
        <v>2</v>
      </c>
      <c r="G21" s="266">
        <f t="shared" si="6"/>
        <v>2</v>
      </c>
      <c r="H21" s="266">
        <f t="shared" si="6"/>
        <v>2</v>
      </c>
      <c r="I21" s="266">
        <f t="shared" si="6"/>
        <v>2</v>
      </c>
      <c r="J21" s="266">
        <f t="shared" si="6"/>
        <v>2</v>
      </c>
      <c r="L21" s="307">
        <f>SUM(F21:J21)</f>
        <v>10</v>
      </c>
      <c r="M21" s="68"/>
      <c r="N21" s="68"/>
      <c r="O21" s="68"/>
      <c r="P21" s="68"/>
      <c r="Q21" s="68"/>
    </row>
    <row r="22">
      <c r="A22" s="68"/>
      <c r="B22" s="117"/>
      <c r="C22" s="176"/>
      <c r="D22" s="128"/>
      <c r="E22" s="197" t="s">
        <v>400</v>
      </c>
      <c r="F22" s="230">
        <f t="shared" ref="F22:J22" si="7">$C$12</f>
        <v>4</v>
      </c>
      <c r="G22" s="230">
        <f t="shared" si="7"/>
        <v>4</v>
      </c>
      <c r="H22" s="230">
        <f t="shared" si="7"/>
        <v>4</v>
      </c>
      <c r="I22" s="230">
        <f t="shared" si="7"/>
        <v>4</v>
      </c>
      <c r="J22" s="230">
        <f t="shared" si="7"/>
        <v>4</v>
      </c>
      <c r="L22" s="245">
        <v>4.0</v>
      </c>
      <c r="M22" s="68"/>
      <c r="N22" s="68"/>
      <c r="O22" s="68"/>
      <c r="P22" s="68"/>
      <c r="Q22" s="68"/>
    </row>
    <row r="23">
      <c r="A23" s="68"/>
      <c r="B23" s="117"/>
      <c r="C23" s="176"/>
      <c r="D23" s="128"/>
      <c r="E23" s="170" t="s">
        <v>383</v>
      </c>
      <c r="F23" s="234">
        <f t="shared" ref="F23:J23" si="8">F22*F21</f>
        <v>8</v>
      </c>
      <c r="G23" s="234">
        <f t="shared" si="8"/>
        <v>8</v>
      </c>
      <c r="H23" s="234">
        <f t="shared" si="8"/>
        <v>8</v>
      </c>
      <c r="I23" s="234">
        <f t="shared" si="8"/>
        <v>8</v>
      </c>
      <c r="J23" s="234">
        <f t="shared" si="8"/>
        <v>8</v>
      </c>
      <c r="K23" s="235"/>
      <c r="L23" s="267">
        <f>SUM(F23:J23)</f>
        <v>40</v>
      </c>
      <c r="M23" s="176"/>
      <c r="N23" s="68"/>
      <c r="O23" s="68"/>
      <c r="P23" s="68"/>
      <c r="Q23" s="68"/>
    </row>
    <row r="24">
      <c r="A24" s="68"/>
      <c r="B24" s="117"/>
      <c r="C24" s="176"/>
      <c r="D24" s="128"/>
      <c r="E24" s="166" t="s">
        <v>401</v>
      </c>
      <c r="F24" s="235"/>
      <c r="G24" s="235"/>
      <c r="H24" s="235"/>
      <c r="I24" s="235"/>
      <c r="J24" s="235"/>
      <c r="K24" s="268">
        <f>SUM(K25:K31)</f>
        <v>21600</v>
      </c>
      <c r="L24" s="240">
        <f>$K$24*$L$22</f>
        <v>86400</v>
      </c>
      <c r="M24" s="269">
        <f>L24*L22</f>
        <v>345600</v>
      </c>
      <c r="N24" s="242" t="s">
        <v>20</v>
      </c>
      <c r="O24" s="68"/>
      <c r="P24" s="68"/>
      <c r="Q24" s="68"/>
    </row>
    <row r="25" outlineLevel="1">
      <c r="A25" s="68"/>
      <c r="B25" s="117"/>
      <c r="C25" s="176"/>
      <c r="D25" s="128"/>
      <c r="E25" s="245" t="s">
        <v>387</v>
      </c>
      <c r="F25" s="245" t="s">
        <v>388</v>
      </c>
      <c r="G25" s="245" t="s">
        <v>388</v>
      </c>
      <c r="H25" s="245" t="s">
        <v>388</v>
      </c>
      <c r="I25" s="245" t="s">
        <v>388</v>
      </c>
      <c r="J25" s="245" t="s">
        <v>388</v>
      </c>
      <c r="K25" s="270">
        <v>2250.0</v>
      </c>
      <c r="L25" s="270">
        <f>$K$25*$L$22</f>
        <v>9000</v>
      </c>
      <c r="M25" s="176">
        <f>$L$25*$L$21</f>
        <v>90000</v>
      </c>
      <c r="N25" s="68"/>
      <c r="O25" s="68"/>
      <c r="P25" s="68"/>
      <c r="Q25" s="68"/>
    </row>
    <row r="26" outlineLevel="1">
      <c r="A26" s="68"/>
      <c r="B26" s="117"/>
      <c r="C26" s="176"/>
      <c r="D26" s="128"/>
      <c r="E26" s="245" t="s">
        <v>390</v>
      </c>
      <c r="F26" s="245" t="s">
        <v>388</v>
      </c>
      <c r="G26" s="245" t="s">
        <v>388</v>
      </c>
      <c r="H26" s="245" t="s">
        <v>388</v>
      </c>
      <c r="I26" s="245" t="s">
        <v>388</v>
      </c>
      <c r="J26" s="245" t="s">
        <v>388</v>
      </c>
      <c r="K26" s="270">
        <v>10500.0</v>
      </c>
      <c r="L26" s="270">
        <f>$K$26*$L$22</f>
        <v>42000</v>
      </c>
      <c r="M26" s="176">
        <f>$L$26*$L$21</f>
        <v>420000</v>
      </c>
      <c r="N26" s="68"/>
      <c r="O26" s="68"/>
      <c r="P26" s="68"/>
      <c r="Q26" s="68"/>
    </row>
    <row r="27" outlineLevel="1">
      <c r="A27" s="68"/>
      <c r="B27" s="117"/>
      <c r="C27" s="176"/>
      <c r="D27" s="128"/>
      <c r="E27" s="245" t="s">
        <v>392</v>
      </c>
      <c r="F27" s="245" t="s">
        <v>388</v>
      </c>
      <c r="G27" s="245" t="s">
        <v>388</v>
      </c>
      <c r="H27" s="245" t="s">
        <v>388</v>
      </c>
      <c r="I27" s="245" t="s">
        <v>388</v>
      </c>
      <c r="J27" s="245" t="s">
        <v>388</v>
      </c>
      <c r="K27" s="270">
        <v>2250.0</v>
      </c>
      <c r="L27" s="270">
        <f>$K$27*$L$22</f>
        <v>9000</v>
      </c>
      <c r="M27" s="176">
        <f>$L$27*$L$21</f>
        <v>90000</v>
      </c>
      <c r="N27" s="68"/>
      <c r="O27" s="68"/>
      <c r="P27" s="68"/>
      <c r="Q27" s="68"/>
    </row>
    <row r="28" outlineLevel="1">
      <c r="A28" s="68"/>
      <c r="B28" s="117"/>
      <c r="C28" s="176"/>
      <c r="D28" s="71"/>
      <c r="E28" s="245" t="s">
        <v>393</v>
      </c>
      <c r="F28" s="245" t="s">
        <v>388</v>
      </c>
      <c r="G28" s="245" t="s">
        <v>388</v>
      </c>
      <c r="H28" s="245" t="s">
        <v>388</v>
      </c>
      <c r="I28" s="245" t="s">
        <v>388</v>
      </c>
      <c r="J28" s="245" t="s">
        <v>388</v>
      </c>
      <c r="K28" s="270">
        <v>1350.0</v>
      </c>
      <c r="L28" s="270">
        <f>$K$28*$L$22</f>
        <v>5400</v>
      </c>
      <c r="M28" s="176">
        <f>$L$28*$L$21</f>
        <v>54000</v>
      </c>
      <c r="N28" s="68"/>
      <c r="O28" s="68"/>
      <c r="P28" s="68"/>
      <c r="Q28" s="68"/>
    </row>
    <row r="29" outlineLevel="1">
      <c r="A29" s="68"/>
      <c r="B29" s="117"/>
      <c r="C29" s="176"/>
      <c r="D29" s="128"/>
      <c r="E29" s="245" t="s">
        <v>394</v>
      </c>
      <c r="F29" s="245" t="s">
        <v>388</v>
      </c>
      <c r="G29" s="245" t="s">
        <v>388</v>
      </c>
      <c r="H29" s="245" t="s">
        <v>388</v>
      </c>
      <c r="I29" s="245" t="s">
        <v>388</v>
      </c>
      <c r="J29" s="245" t="s">
        <v>388</v>
      </c>
      <c r="K29" s="270">
        <v>1500.0</v>
      </c>
      <c r="L29" s="270">
        <f>$K$29*$L$22</f>
        <v>6000</v>
      </c>
      <c r="M29" s="176">
        <f>$L$29*$L$21</f>
        <v>60000</v>
      </c>
      <c r="N29" s="68"/>
      <c r="O29" s="68"/>
      <c r="P29" s="68"/>
      <c r="Q29" s="68"/>
    </row>
    <row r="30" outlineLevel="1">
      <c r="A30" s="68"/>
      <c r="B30" s="117"/>
      <c r="C30" s="176"/>
      <c r="D30" s="128"/>
      <c r="E30" s="245" t="s">
        <v>395</v>
      </c>
      <c r="F30" s="245" t="s">
        <v>388</v>
      </c>
      <c r="G30" s="245" t="s">
        <v>388</v>
      </c>
      <c r="H30" s="245" t="s">
        <v>388</v>
      </c>
      <c r="I30" s="245" t="s">
        <v>388</v>
      </c>
      <c r="J30" s="245" t="s">
        <v>388</v>
      </c>
      <c r="K30" s="270">
        <v>1125.0</v>
      </c>
      <c r="L30" s="270">
        <f>$K$30*$L$22</f>
        <v>4500</v>
      </c>
      <c r="M30" s="176">
        <f>$L$30*$L$21</f>
        <v>45000</v>
      </c>
      <c r="N30" s="68"/>
      <c r="O30" s="68"/>
      <c r="P30" s="68"/>
      <c r="Q30" s="68"/>
    </row>
    <row r="31" outlineLevel="1">
      <c r="A31" s="68"/>
      <c r="B31" s="117"/>
      <c r="C31" s="176"/>
      <c r="D31" s="128"/>
      <c r="E31" s="271" t="s">
        <v>397</v>
      </c>
      <c r="F31" s="271" t="s">
        <v>388</v>
      </c>
      <c r="G31" s="271" t="s">
        <v>388</v>
      </c>
      <c r="H31" s="271" t="s">
        <v>388</v>
      </c>
      <c r="I31" s="271" t="s">
        <v>388</v>
      </c>
      <c r="J31" s="271" t="s">
        <v>388</v>
      </c>
      <c r="K31" s="272">
        <v>2625.0</v>
      </c>
      <c r="L31" s="270">
        <f>$K$31*$L$22</f>
        <v>10500</v>
      </c>
      <c r="M31" s="176">
        <f>$L$31*$L$21</f>
        <v>105000</v>
      </c>
      <c r="N31" s="68"/>
      <c r="O31" s="68"/>
      <c r="P31" s="68"/>
      <c r="Q31" s="68"/>
    </row>
    <row r="32">
      <c r="A32" s="68"/>
      <c r="B32" s="117"/>
      <c r="C32" s="176"/>
      <c r="D32" s="128"/>
      <c r="E32" s="271"/>
      <c r="F32" s="271"/>
      <c r="G32" s="271"/>
      <c r="H32" s="271"/>
      <c r="I32" s="245"/>
      <c r="J32" s="245"/>
      <c r="K32" s="245"/>
      <c r="L32" s="245"/>
      <c r="M32" s="176"/>
      <c r="N32" s="68"/>
      <c r="O32" s="68"/>
      <c r="P32" s="68"/>
      <c r="Q32" s="68"/>
    </row>
    <row r="33">
      <c r="A33" s="68"/>
      <c r="B33" s="117"/>
      <c r="C33" s="176"/>
      <c r="D33" s="128"/>
      <c r="E33" s="273" t="s">
        <v>402</v>
      </c>
      <c r="F33" s="274" t="s">
        <v>353</v>
      </c>
      <c r="G33" s="274" t="s">
        <v>403</v>
      </c>
      <c r="H33" s="275" t="s">
        <v>404</v>
      </c>
      <c r="J33" s="273" t="s">
        <v>405</v>
      </c>
      <c r="K33" s="273"/>
      <c r="N33" s="68"/>
      <c r="O33" s="68"/>
      <c r="P33" s="68"/>
      <c r="Q33" s="68"/>
    </row>
    <row r="34">
      <c r="A34" s="68"/>
      <c r="B34" s="117"/>
      <c r="C34" s="176"/>
      <c r="D34" s="128"/>
      <c r="E34" s="245" t="s">
        <v>387</v>
      </c>
      <c r="F34" s="270">
        <f t="shared" ref="F34:F40" si="9">M10</f>
        <v>67500</v>
      </c>
      <c r="G34" s="270">
        <f t="shared" ref="G34:G40" si="10">M25</f>
        <v>90000</v>
      </c>
      <c r="H34" s="276">
        <f t="shared" ref="H34:H40" si="11">SUM(F34:G34)</f>
        <v>157500</v>
      </c>
      <c r="I34" s="277" t="s">
        <v>20</v>
      </c>
      <c r="J34" s="170" t="s">
        <v>386</v>
      </c>
      <c r="K34" s="278">
        <f>($L$6*$L$7)+($L$21*$L$22)</f>
        <v>70</v>
      </c>
      <c r="L34" s="279"/>
      <c r="N34" s="68"/>
      <c r="O34" s="68"/>
      <c r="P34" s="68"/>
      <c r="Q34" s="68"/>
    </row>
    <row r="35">
      <c r="A35" s="68"/>
      <c r="B35" s="117"/>
      <c r="C35" s="176"/>
      <c r="D35" s="128"/>
      <c r="E35" s="245" t="s">
        <v>390</v>
      </c>
      <c r="F35" s="270">
        <f t="shared" si="9"/>
        <v>315000</v>
      </c>
      <c r="G35" s="270">
        <f t="shared" si="10"/>
        <v>420000</v>
      </c>
      <c r="H35" s="276">
        <f t="shared" si="11"/>
        <v>735000</v>
      </c>
      <c r="I35" s="277" t="s">
        <v>20</v>
      </c>
      <c r="J35" s="170" t="s">
        <v>406</v>
      </c>
      <c r="K35" s="308">
        <f>round(K34/12,0)</f>
        <v>6</v>
      </c>
      <c r="L35" s="279"/>
      <c r="N35" s="68"/>
      <c r="O35" s="68"/>
      <c r="P35" s="68"/>
      <c r="Q35" s="68"/>
    </row>
    <row r="36">
      <c r="A36" s="68"/>
      <c r="B36" s="117"/>
      <c r="C36" s="176"/>
      <c r="D36" s="128"/>
      <c r="E36" s="245" t="s">
        <v>392</v>
      </c>
      <c r="F36" s="270">
        <f t="shared" si="9"/>
        <v>67500</v>
      </c>
      <c r="G36" s="270">
        <f t="shared" si="10"/>
        <v>90000</v>
      </c>
      <c r="H36" s="276">
        <f t="shared" si="11"/>
        <v>157500</v>
      </c>
      <c r="I36" s="277" t="s">
        <v>20</v>
      </c>
      <c r="J36" s="281" t="s">
        <v>407</v>
      </c>
      <c r="K36" s="279"/>
      <c r="L36" s="279"/>
      <c r="N36" s="68"/>
      <c r="O36" s="68"/>
      <c r="P36" s="68"/>
      <c r="Q36" s="68"/>
    </row>
    <row r="37">
      <c r="A37" s="68"/>
      <c r="B37" s="117"/>
      <c r="C37" s="176"/>
      <c r="D37" s="128"/>
      <c r="E37" s="245" t="s">
        <v>393</v>
      </c>
      <c r="F37" s="270">
        <f t="shared" si="9"/>
        <v>40500</v>
      </c>
      <c r="G37" s="270">
        <f t="shared" si="10"/>
        <v>54000</v>
      </c>
      <c r="H37" s="276">
        <f t="shared" si="11"/>
        <v>94500</v>
      </c>
      <c r="I37" s="277" t="s">
        <v>20</v>
      </c>
      <c r="J37" s="170" t="s">
        <v>386</v>
      </c>
      <c r="K37" s="51">
        <v>2.0</v>
      </c>
      <c r="L37" s="279"/>
      <c r="N37" s="68"/>
      <c r="O37" s="68"/>
      <c r="P37" s="68"/>
      <c r="Q37" s="68"/>
    </row>
    <row r="38">
      <c r="A38" s="68"/>
      <c r="B38" s="117"/>
      <c r="C38" s="176"/>
      <c r="D38" s="128"/>
      <c r="E38" s="245" t="s">
        <v>394</v>
      </c>
      <c r="F38" s="270">
        <f t="shared" si="9"/>
        <v>45000</v>
      </c>
      <c r="G38" s="270">
        <f t="shared" si="10"/>
        <v>60000</v>
      </c>
      <c r="H38" s="276">
        <f t="shared" si="11"/>
        <v>105000</v>
      </c>
      <c r="I38" s="277" t="s">
        <v>20</v>
      </c>
      <c r="J38" s="282" t="s">
        <v>408</v>
      </c>
      <c r="K38" s="283">
        <f>K34-K37</f>
        <v>68</v>
      </c>
      <c r="L38" s="279"/>
      <c r="N38" s="68"/>
      <c r="O38" s="68"/>
      <c r="P38" s="68"/>
      <c r="Q38" s="68"/>
    </row>
    <row r="39">
      <c r="A39" s="68"/>
      <c r="B39" s="117"/>
      <c r="C39" s="176"/>
      <c r="D39" s="128"/>
      <c r="E39" s="245" t="s">
        <v>395</v>
      </c>
      <c r="F39" s="270">
        <f t="shared" si="9"/>
        <v>33750</v>
      </c>
      <c r="G39" s="270">
        <f t="shared" si="10"/>
        <v>45000</v>
      </c>
      <c r="H39" s="276">
        <f t="shared" si="11"/>
        <v>78750</v>
      </c>
      <c r="I39" s="277" t="s">
        <v>20</v>
      </c>
      <c r="L39" s="279"/>
      <c r="N39" s="68"/>
      <c r="O39" s="68"/>
      <c r="P39" s="68"/>
      <c r="Q39" s="68"/>
    </row>
    <row r="40">
      <c r="A40" s="68"/>
      <c r="B40" s="117"/>
      <c r="C40" s="176"/>
      <c r="D40" s="128"/>
      <c r="E40" s="271" t="s">
        <v>397</v>
      </c>
      <c r="F40" s="270">
        <f t="shared" si="9"/>
        <v>78750</v>
      </c>
      <c r="G40" s="270">
        <f t="shared" si="10"/>
        <v>105000</v>
      </c>
      <c r="H40" s="276">
        <f t="shared" si="11"/>
        <v>183750</v>
      </c>
      <c r="I40" s="277" t="s">
        <v>20</v>
      </c>
      <c r="J40" s="284" t="s">
        <v>409</v>
      </c>
      <c r="K40" s="285">
        <f>K38</f>
        <v>68</v>
      </c>
      <c r="L40" s="242" t="s">
        <v>20</v>
      </c>
      <c r="N40" s="68"/>
      <c r="O40" s="68"/>
      <c r="P40" s="68"/>
      <c r="Q40" s="68"/>
    </row>
    <row r="41">
      <c r="A41" s="68"/>
      <c r="B41" s="117"/>
      <c r="C41" s="176"/>
      <c r="D41" s="128"/>
      <c r="E41" s="273" t="s">
        <v>402</v>
      </c>
      <c r="F41" s="274">
        <f t="shared" ref="F41:G41" si="12">SUM(F34:F40)</f>
        <v>648000</v>
      </c>
      <c r="G41" s="274">
        <f t="shared" si="12"/>
        <v>864000</v>
      </c>
      <c r="H41" s="286">
        <f>SUM(H34:H40)/1000000</f>
        <v>1.512</v>
      </c>
      <c r="I41" s="277" t="s">
        <v>20</v>
      </c>
      <c r="J41" s="284" t="s">
        <v>410</v>
      </c>
      <c r="K41" s="278" t="str">
        <f>CONCATENATE(ROUNDUP(K42,2)," ","years")</f>
        <v>5.67 years</v>
      </c>
      <c r="L41" s="242" t="s">
        <v>20</v>
      </c>
      <c r="N41" s="68"/>
      <c r="O41" s="68"/>
      <c r="P41" s="68"/>
      <c r="Q41" s="68"/>
    </row>
    <row r="42">
      <c r="A42" s="68"/>
      <c r="B42" s="117"/>
      <c r="C42" s="176"/>
      <c r="D42" s="128"/>
      <c r="K42" s="287">
        <f>K40/12</f>
        <v>5.666666667</v>
      </c>
      <c r="L42" s="264"/>
      <c r="M42" s="176"/>
      <c r="N42" s="68"/>
      <c r="O42" s="68"/>
      <c r="P42" s="68"/>
      <c r="Q42" s="68"/>
    </row>
    <row r="43">
      <c r="A43" s="68"/>
      <c r="B43" s="117"/>
      <c r="C43" s="176"/>
      <c r="D43" s="128"/>
      <c r="K43" s="264"/>
      <c r="L43" s="264"/>
      <c r="M43" s="176"/>
      <c r="N43" s="68"/>
      <c r="O43" s="68"/>
      <c r="P43" s="68"/>
      <c r="Q43" s="68"/>
    </row>
    <row r="44">
      <c r="A44" s="68"/>
      <c r="B44" s="117"/>
      <c r="C44" s="176"/>
      <c r="D44" s="128"/>
      <c r="K44" s="264"/>
      <c r="L44" s="264"/>
      <c r="M44" s="176"/>
      <c r="N44" s="68"/>
      <c r="O44" s="68"/>
      <c r="P44" s="68"/>
      <c r="Q44" s="68"/>
    </row>
    <row r="45">
      <c r="A45" s="68"/>
      <c r="B45" s="117"/>
      <c r="C45" s="176"/>
      <c r="D45" s="128"/>
      <c r="K45" s="264"/>
      <c r="L45" s="264"/>
      <c r="M45" s="176"/>
      <c r="N45" s="68"/>
      <c r="O45" s="68"/>
      <c r="P45" s="68"/>
      <c r="Q45" s="68"/>
    </row>
    <row r="46">
      <c r="A46" s="68"/>
      <c r="B46" s="117"/>
      <c r="C46" s="176"/>
      <c r="D46" s="128"/>
      <c r="E46" s="68"/>
      <c r="F46" s="175"/>
      <c r="G46" s="175"/>
      <c r="H46" s="175"/>
      <c r="I46" s="175"/>
      <c r="J46" s="175"/>
      <c r="K46" s="264"/>
      <c r="L46" s="264"/>
      <c r="M46" s="176"/>
      <c r="N46" s="68"/>
      <c r="O46" s="68"/>
      <c r="P46" s="68"/>
      <c r="Q46" s="68"/>
    </row>
    <row r="47">
      <c r="A47" s="68"/>
      <c r="B47" s="117"/>
      <c r="C47" s="176"/>
      <c r="D47" s="128"/>
      <c r="E47" s="68"/>
      <c r="F47" s="175"/>
      <c r="G47" s="175"/>
      <c r="H47" s="175"/>
      <c r="I47" s="175"/>
      <c r="J47" s="175"/>
      <c r="K47" s="264"/>
      <c r="L47" s="264"/>
      <c r="M47" s="176"/>
      <c r="N47" s="68"/>
      <c r="O47" s="68"/>
      <c r="P47" s="68"/>
      <c r="Q47" s="68"/>
    </row>
    <row r="48">
      <c r="A48" s="68"/>
      <c r="B48" s="117"/>
      <c r="C48" s="176"/>
      <c r="D48" s="128"/>
      <c r="E48" s="216"/>
      <c r="F48" s="217"/>
      <c r="G48" s="217"/>
      <c r="H48" s="217"/>
      <c r="I48" s="217"/>
      <c r="J48" s="217"/>
      <c r="K48" s="264"/>
      <c r="L48" s="264"/>
      <c r="M48" s="176"/>
      <c r="N48" s="68"/>
      <c r="O48" s="68"/>
      <c r="P48" s="68"/>
      <c r="Q48" s="68"/>
    </row>
    <row r="49">
      <c r="A49" s="68"/>
      <c r="B49" s="117"/>
      <c r="C49" s="176"/>
      <c r="D49" s="128"/>
      <c r="E49" s="216"/>
      <c r="F49" s="217"/>
      <c r="G49" s="217"/>
      <c r="H49" s="217"/>
      <c r="I49" s="217"/>
      <c r="J49" s="217"/>
      <c r="K49" s="264"/>
      <c r="L49" s="264"/>
      <c r="M49" s="176"/>
      <c r="N49" s="68"/>
      <c r="O49" s="68"/>
      <c r="P49" s="68"/>
      <c r="Q49" s="68"/>
    </row>
    <row r="50">
      <c r="A50" s="68"/>
      <c r="B50" s="117"/>
      <c r="C50" s="176"/>
      <c r="D50" s="128"/>
      <c r="E50" s="216"/>
      <c r="F50" s="217"/>
      <c r="G50" s="217"/>
      <c r="H50" s="217"/>
      <c r="I50" s="217"/>
      <c r="J50" s="217"/>
      <c r="K50" s="264"/>
      <c r="L50" s="264"/>
      <c r="M50" s="176"/>
      <c r="N50" s="68"/>
      <c r="O50" s="68"/>
      <c r="P50" s="68"/>
      <c r="Q50" s="68"/>
    </row>
    <row r="51">
      <c r="A51" s="68"/>
      <c r="B51" s="117"/>
      <c r="C51" s="176"/>
      <c r="D51" s="128"/>
      <c r="E51" s="216"/>
      <c r="F51" s="217"/>
      <c r="G51" s="217"/>
      <c r="H51" s="217"/>
      <c r="I51" s="217"/>
      <c r="J51" s="217"/>
      <c r="K51" s="264"/>
      <c r="L51" s="264"/>
      <c r="M51" s="176"/>
      <c r="N51" s="68"/>
      <c r="O51" s="68"/>
      <c r="P51" s="68"/>
      <c r="Q51" s="68"/>
    </row>
    <row r="52">
      <c r="A52" s="68"/>
      <c r="B52" s="117"/>
      <c r="C52" s="176"/>
      <c r="D52" s="128"/>
      <c r="E52" s="216"/>
      <c r="F52" s="217"/>
      <c r="G52" s="217"/>
      <c r="H52" s="217"/>
      <c r="I52" s="217"/>
      <c r="J52" s="217"/>
      <c r="K52" s="264"/>
      <c r="L52" s="264"/>
      <c r="M52" s="176"/>
      <c r="N52" s="68"/>
      <c r="O52" s="68"/>
      <c r="P52" s="68"/>
      <c r="Q52" s="68"/>
    </row>
    <row r="53">
      <c r="A53" s="68"/>
      <c r="B53" s="117"/>
      <c r="C53" s="176"/>
      <c r="D53" s="128"/>
      <c r="E53" s="216"/>
      <c r="F53" s="217"/>
      <c r="G53" s="217"/>
      <c r="H53" s="217"/>
      <c r="I53" s="217"/>
      <c r="J53" s="217"/>
      <c r="K53" s="264"/>
      <c r="L53" s="264"/>
      <c r="M53" s="176"/>
      <c r="N53" s="68"/>
      <c r="O53" s="68"/>
      <c r="P53" s="68"/>
      <c r="Q53" s="68"/>
    </row>
    <row r="54">
      <c r="A54" s="68"/>
      <c r="B54" s="117"/>
      <c r="C54" s="176"/>
      <c r="D54" s="128"/>
      <c r="E54" s="216"/>
      <c r="F54" s="217"/>
      <c r="G54" s="217"/>
      <c r="H54" s="217"/>
      <c r="I54" s="217"/>
      <c r="J54" s="217"/>
      <c r="K54" s="264"/>
      <c r="L54" s="264"/>
      <c r="M54" s="176"/>
      <c r="N54" s="68"/>
      <c r="O54" s="68"/>
      <c r="P54" s="68"/>
      <c r="Q54" s="68"/>
    </row>
    <row r="55">
      <c r="A55" s="68"/>
      <c r="B55" s="117"/>
      <c r="C55" s="176"/>
      <c r="D55" s="128"/>
      <c r="E55" s="216"/>
      <c r="F55" s="217"/>
      <c r="G55" s="217"/>
      <c r="H55" s="217"/>
      <c r="I55" s="217"/>
      <c r="J55" s="217"/>
      <c r="K55" s="264"/>
      <c r="L55" s="264"/>
      <c r="M55" s="176"/>
      <c r="N55" s="68"/>
      <c r="O55" s="68"/>
      <c r="P55" s="68"/>
      <c r="Q55" s="68"/>
    </row>
    <row r="56">
      <c r="A56" s="68"/>
      <c r="B56" s="117"/>
      <c r="C56" s="176"/>
      <c r="D56" s="128"/>
      <c r="E56" s="216"/>
      <c r="F56" s="217"/>
      <c r="G56" s="217"/>
      <c r="H56" s="217"/>
      <c r="I56" s="217"/>
      <c r="J56" s="217"/>
      <c r="K56" s="264"/>
      <c r="L56" s="264"/>
      <c r="M56" s="176"/>
      <c r="N56" s="68"/>
      <c r="O56" s="68"/>
      <c r="P56" s="68"/>
      <c r="Q56" s="68"/>
    </row>
    <row r="57">
      <c r="A57" s="68"/>
      <c r="B57" s="117"/>
      <c r="C57" s="176"/>
      <c r="D57" s="128"/>
      <c r="E57" s="216"/>
      <c r="F57" s="217"/>
      <c r="G57" s="217"/>
      <c r="H57" s="217"/>
      <c r="I57" s="217"/>
      <c r="J57" s="217"/>
      <c r="K57" s="264"/>
      <c r="L57" s="264"/>
      <c r="M57" s="176"/>
      <c r="N57" s="68"/>
      <c r="O57" s="68"/>
      <c r="P57" s="68"/>
      <c r="Q57" s="68"/>
    </row>
    <row r="58">
      <c r="A58" s="68"/>
      <c r="B58" s="117"/>
      <c r="C58" s="176"/>
      <c r="D58" s="128"/>
      <c r="E58" s="216"/>
      <c r="F58" s="217"/>
      <c r="G58" s="217"/>
      <c r="H58" s="217"/>
      <c r="I58" s="217"/>
      <c r="J58" s="217"/>
      <c r="K58" s="264"/>
      <c r="L58" s="264"/>
      <c r="M58" s="176"/>
      <c r="N58" s="68"/>
      <c r="O58" s="68"/>
      <c r="P58" s="68"/>
      <c r="Q58" s="68"/>
    </row>
    <row r="59">
      <c r="A59" s="68"/>
      <c r="B59" s="117"/>
      <c r="C59" s="176"/>
      <c r="D59" s="128"/>
      <c r="E59" s="216"/>
      <c r="F59" s="217"/>
      <c r="G59" s="217"/>
      <c r="H59" s="217"/>
      <c r="I59" s="217"/>
      <c r="J59" s="217"/>
      <c r="K59" s="264"/>
      <c r="L59" s="264"/>
      <c r="M59" s="176"/>
      <c r="N59" s="68"/>
      <c r="O59" s="68"/>
      <c r="P59" s="68"/>
      <c r="Q59" s="68"/>
    </row>
    <row r="60">
      <c r="A60" s="68"/>
      <c r="B60" s="117"/>
      <c r="C60" s="176"/>
      <c r="D60" s="128"/>
      <c r="E60" s="216"/>
      <c r="F60" s="217"/>
      <c r="G60" s="217"/>
      <c r="H60" s="217"/>
      <c r="I60" s="217"/>
      <c r="J60" s="217"/>
      <c r="K60" s="264"/>
      <c r="L60" s="264"/>
      <c r="M60" s="176"/>
      <c r="N60" s="68"/>
      <c r="O60" s="68"/>
      <c r="P60" s="68"/>
      <c r="Q60" s="68"/>
    </row>
    <row r="61">
      <c r="A61" s="68"/>
      <c r="B61" s="117"/>
      <c r="C61" s="176"/>
      <c r="D61" s="128"/>
      <c r="E61" s="216"/>
      <c r="F61" s="217"/>
      <c r="G61" s="217"/>
      <c r="H61" s="217"/>
      <c r="I61" s="217"/>
      <c r="J61" s="217"/>
      <c r="K61" s="264"/>
      <c r="L61" s="264"/>
      <c r="M61" s="176"/>
      <c r="N61" s="68"/>
      <c r="O61" s="68"/>
      <c r="P61" s="68"/>
      <c r="Q61" s="68"/>
    </row>
    <row r="62">
      <c r="A62" s="68"/>
      <c r="B62" s="117"/>
      <c r="C62" s="176"/>
      <c r="D62" s="128"/>
      <c r="E62" s="216"/>
      <c r="F62" s="217"/>
      <c r="G62" s="217"/>
      <c r="H62" s="217"/>
      <c r="I62" s="217"/>
      <c r="J62" s="217"/>
      <c r="K62" s="264"/>
      <c r="L62" s="264"/>
      <c r="M62" s="176"/>
      <c r="N62" s="68"/>
      <c r="O62" s="68"/>
      <c r="P62" s="68"/>
      <c r="Q62" s="68"/>
    </row>
    <row r="63">
      <c r="A63" s="68"/>
      <c r="B63" s="117"/>
      <c r="C63" s="176"/>
      <c r="D63" s="128"/>
      <c r="E63" s="216"/>
      <c r="F63" s="217"/>
      <c r="G63" s="217"/>
      <c r="H63" s="217"/>
      <c r="I63" s="217"/>
      <c r="J63" s="217"/>
      <c r="K63" s="264"/>
      <c r="L63" s="264"/>
      <c r="M63" s="176"/>
      <c r="N63" s="68"/>
      <c r="O63" s="68"/>
      <c r="P63" s="68"/>
      <c r="Q63" s="68"/>
    </row>
    <row r="64">
      <c r="A64" s="68"/>
      <c r="B64" s="117"/>
      <c r="C64" s="176"/>
      <c r="D64" s="128"/>
      <c r="E64" s="216"/>
      <c r="F64" s="217"/>
      <c r="G64" s="217"/>
      <c r="H64" s="217"/>
      <c r="I64" s="217"/>
      <c r="J64" s="217"/>
      <c r="K64" s="264"/>
      <c r="L64" s="264"/>
      <c r="M64" s="176"/>
      <c r="N64" s="68"/>
      <c r="O64" s="68"/>
      <c r="P64" s="68"/>
      <c r="Q64" s="68"/>
    </row>
    <row r="65">
      <c r="A65" s="68"/>
      <c r="B65" s="117"/>
      <c r="C65" s="176"/>
      <c r="D65" s="128"/>
      <c r="E65" s="216"/>
      <c r="F65" s="217"/>
      <c r="G65" s="217"/>
      <c r="H65" s="217"/>
      <c r="I65" s="217"/>
      <c r="J65" s="217"/>
      <c r="K65" s="264"/>
      <c r="L65" s="264"/>
      <c r="M65" s="176"/>
      <c r="N65" s="68"/>
      <c r="O65" s="68"/>
      <c r="P65" s="68"/>
      <c r="Q65" s="68"/>
    </row>
    <row r="66">
      <c r="A66" s="68"/>
      <c r="B66" s="117"/>
      <c r="C66" s="176"/>
      <c r="D66" s="128"/>
      <c r="E66" s="216"/>
      <c r="F66" s="217"/>
      <c r="G66" s="217"/>
      <c r="H66" s="217"/>
      <c r="I66" s="217"/>
      <c r="J66" s="217"/>
      <c r="K66" s="264"/>
      <c r="L66" s="264"/>
      <c r="M66" s="176"/>
      <c r="N66" s="68"/>
      <c r="O66" s="68"/>
      <c r="P66" s="68"/>
      <c r="Q66" s="68"/>
    </row>
    <row r="67">
      <c r="A67" s="68"/>
      <c r="B67" s="117"/>
      <c r="C67" s="176"/>
      <c r="D67" s="128"/>
      <c r="E67" s="216"/>
      <c r="F67" s="217"/>
      <c r="G67" s="217"/>
      <c r="H67" s="217"/>
      <c r="I67" s="217"/>
      <c r="J67" s="217"/>
      <c r="K67" s="264"/>
      <c r="L67" s="264"/>
      <c r="M67" s="176"/>
      <c r="N67" s="68"/>
      <c r="O67" s="68"/>
      <c r="P67" s="68"/>
      <c r="Q67" s="68"/>
    </row>
    <row r="68">
      <c r="A68" s="68"/>
      <c r="B68" s="117"/>
      <c r="C68" s="176"/>
      <c r="D68" s="128"/>
      <c r="E68" s="216"/>
      <c r="F68" s="217"/>
      <c r="G68" s="217"/>
      <c r="H68" s="217"/>
      <c r="I68" s="217"/>
      <c r="J68" s="217"/>
      <c r="K68" s="264"/>
      <c r="L68" s="264"/>
      <c r="M68" s="176"/>
      <c r="N68" s="68"/>
      <c r="O68" s="68"/>
      <c r="P68" s="68"/>
      <c r="Q68" s="68"/>
    </row>
    <row r="69">
      <c r="A69" s="68"/>
      <c r="B69" s="117"/>
      <c r="C69" s="176"/>
      <c r="D69" s="128"/>
      <c r="E69" s="216"/>
      <c r="F69" s="217"/>
      <c r="G69" s="217"/>
      <c r="H69" s="217"/>
      <c r="I69" s="217"/>
      <c r="J69" s="217"/>
      <c r="K69" s="264"/>
      <c r="L69" s="264"/>
      <c r="M69" s="176"/>
      <c r="N69" s="68"/>
      <c r="O69" s="68"/>
      <c r="P69" s="68"/>
      <c r="Q69" s="68"/>
    </row>
    <row r="70">
      <c r="A70" s="68"/>
      <c r="B70" s="117"/>
      <c r="C70" s="176"/>
      <c r="D70" s="128"/>
      <c r="E70" s="216"/>
      <c r="F70" s="217"/>
      <c r="G70" s="217"/>
      <c r="H70" s="217"/>
      <c r="I70" s="217"/>
      <c r="J70" s="217"/>
      <c r="K70" s="264"/>
      <c r="L70" s="264"/>
      <c r="M70" s="176"/>
      <c r="N70" s="68"/>
      <c r="O70" s="68"/>
      <c r="P70" s="68"/>
      <c r="Q70" s="68"/>
    </row>
    <row r="71">
      <c r="A71" s="68"/>
      <c r="B71" s="117"/>
      <c r="C71" s="176"/>
      <c r="D71" s="128"/>
      <c r="E71" s="216"/>
      <c r="F71" s="217"/>
      <c r="G71" s="217"/>
      <c r="H71" s="217"/>
      <c r="I71" s="217"/>
      <c r="J71" s="217"/>
      <c r="K71" s="264"/>
      <c r="L71" s="264"/>
      <c r="M71" s="176"/>
      <c r="N71" s="68"/>
      <c r="O71" s="68"/>
      <c r="P71" s="68"/>
      <c r="Q71" s="68"/>
    </row>
    <row r="72">
      <c r="A72" s="68"/>
      <c r="B72" s="117"/>
      <c r="C72" s="176"/>
      <c r="D72" s="128"/>
      <c r="E72" s="216"/>
      <c r="F72" s="217"/>
      <c r="G72" s="217"/>
      <c r="H72" s="217"/>
      <c r="I72" s="217"/>
      <c r="J72" s="217"/>
      <c r="K72" s="264"/>
      <c r="L72" s="264"/>
      <c r="M72" s="176"/>
      <c r="N72" s="68"/>
      <c r="O72" s="68"/>
      <c r="P72" s="68"/>
      <c r="Q72" s="68"/>
    </row>
    <row r="73">
      <c r="A73" s="68"/>
      <c r="B73" s="117"/>
      <c r="C73" s="176"/>
      <c r="D73" s="128"/>
      <c r="E73" s="216"/>
      <c r="F73" s="217"/>
      <c r="G73" s="217"/>
      <c r="H73" s="217"/>
      <c r="I73" s="217"/>
      <c r="J73" s="217"/>
      <c r="K73" s="264"/>
      <c r="L73" s="264"/>
      <c r="M73" s="176"/>
      <c r="N73" s="68"/>
      <c r="O73" s="68"/>
      <c r="P73" s="68"/>
      <c r="Q73" s="68"/>
    </row>
    <row r="74">
      <c r="A74" s="68"/>
      <c r="B74" s="117"/>
      <c r="C74" s="176"/>
      <c r="D74" s="128"/>
      <c r="E74" s="216"/>
      <c r="F74" s="217"/>
      <c r="G74" s="217"/>
      <c r="H74" s="217"/>
      <c r="I74" s="217"/>
      <c r="J74" s="217"/>
      <c r="K74" s="264"/>
      <c r="L74" s="264"/>
      <c r="M74" s="176"/>
      <c r="N74" s="68"/>
      <c r="O74" s="68"/>
      <c r="P74" s="68"/>
      <c r="Q74" s="68"/>
    </row>
    <row r="75">
      <c r="A75" s="68"/>
      <c r="B75" s="117"/>
      <c r="C75" s="176"/>
      <c r="D75" s="128"/>
      <c r="E75" s="216"/>
      <c r="F75" s="217"/>
      <c r="G75" s="217"/>
      <c r="H75" s="217"/>
      <c r="I75" s="217"/>
      <c r="J75" s="217"/>
      <c r="K75" s="264"/>
      <c r="L75" s="264"/>
      <c r="M75" s="176"/>
      <c r="N75" s="68"/>
      <c r="O75" s="68"/>
      <c r="P75" s="68"/>
      <c r="Q75" s="68"/>
    </row>
    <row r="76">
      <c r="A76" s="68"/>
      <c r="B76" s="117"/>
      <c r="C76" s="176"/>
      <c r="D76" s="128"/>
      <c r="E76" s="216"/>
      <c r="F76" s="217"/>
      <c r="G76" s="217"/>
      <c r="H76" s="217"/>
      <c r="I76" s="217"/>
      <c r="J76" s="217"/>
      <c r="K76" s="264"/>
      <c r="L76" s="264"/>
      <c r="M76" s="176"/>
      <c r="N76" s="68"/>
      <c r="O76" s="68"/>
      <c r="P76" s="68"/>
      <c r="Q76" s="68"/>
    </row>
    <row r="77">
      <c r="A77" s="68"/>
      <c r="B77" s="117"/>
      <c r="C77" s="176"/>
      <c r="D77" s="128"/>
      <c r="E77" s="216"/>
      <c r="F77" s="217"/>
      <c r="G77" s="217"/>
      <c r="H77" s="217"/>
      <c r="I77" s="217"/>
      <c r="J77" s="217"/>
      <c r="K77" s="264"/>
      <c r="L77" s="264"/>
      <c r="M77" s="176"/>
      <c r="N77" s="68"/>
      <c r="O77" s="68"/>
      <c r="P77" s="68"/>
      <c r="Q77" s="68"/>
    </row>
    <row r="78">
      <c r="A78" s="68"/>
      <c r="B78" s="117"/>
      <c r="C78" s="176"/>
      <c r="D78" s="128"/>
      <c r="E78" s="216"/>
      <c r="F78" s="217"/>
      <c r="G78" s="217"/>
      <c r="H78" s="217"/>
      <c r="I78" s="217"/>
      <c r="J78" s="217"/>
      <c r="K78" s="264"/>
      <c r="L78" s="264"/>
      <c r="M78" s="176"/>
      <c r="N78" s="68"/>
      <c r="O78" s="68"/>
      <c r="P78" s="68"/>
      <c r="Q78" s="68"/>
    </row>
    <row r="79">
      <c r="A79" s="68"/>
      <c r="B79" s="117"/>
      <c r="C79" s="176"/>
      <c r="D79" s="128"/>
      <c r="E79" s="216"/>
      <c r="F79" s="217"/>
      <c r="G79" s="217"/>
      <c r="H79" s="217"/>
      <c r="I79" s="217"/>
      <c r="J79" s="217"/>
      <c r="K79" s="264"/>
      <c r="L79" s="264"/>
      <c r="M79" s="176"/>
      <c r="N79" s="68"/>
      <c r="O79" s="68"/>
      <c r="P79" s="68"/>
      <c r="Q79" s="68"/>
    </row>
    <row r="80">
      <c r="A80" s="68"/>
      <c r="B80" s="117"/>
      <c r="C80" s="176"/>
      <c r="D80" s="128"/>
      <c r="E80" s="216"/>
      <c r="F80" s="217"/>
      <c r="G80" s="217"/>
      <c r="H80" s="217"/>
      <c r="I80" s="217"/>
      <c r="J80" s="217"/>
      <c r="K80" s="264"/>
      <c r="L80" s="264"/>
      <c r="M80" s="176"/>
      <c r="N80" s="68"/>
      <c r="O80" s="68"/>
      <c r="P80" s="68"/>
      <c r="Q80" s="68"/>
    </row>
    <row r="81">
      <c r="A81" s="68"/>
      <c r="B81" s="117"/>
      <c r="C81" s="176"/>
      <c r="D81" s="128"/>
      <c r="E81" s="216"/>
      <c r="F81" s="217"/>
      <c r="G81" s="217"/>
      <c r="H81" s="217"/>
      <c r="I81" s="217"/>
      <c r="J81" s="217"/>
      <c r="K81" s="264"/>
      <c r="L81" s="264"/>
      <c r="M81" s="176"/>
      <c r="N81" s="68"/>
      <c r="O81" s="68"/>
      <c r="P81" s="68"/>
      <c r="Q81" s="68"/>
    </row>
    <row r="82">
      <c r="A82" s="68"/>
      <c r="B82" s="117"/>
      <c r="C82" s="176"/>
      <c r="D82" s="128"/>
      <c r="E82" s="216"/>
      <c r="F82" s="217"/>
      <c r="G82" s="217"/>
      <c r="H82" s="217"/>
      <c r="I82" s="217"/>
      <c r="J82" s="217"/>
      <c r="K82" s="264"/>
      <c r="L82" s="264"/>
      <c r="M82" s="176"/>
      <c r="N82" s="68"/>
      <c r="O82" s="68"/>
      <c r="P82" s="68"/>
      <c r="Q82" s="68"/>
    </row>
    <row r="83">
      <c r="A83" s="68"/>
      <c r="B83" s="117"/>
      <c r="C83" s="176"/>
      <c r="D83" s="128"/>
      <c r="E83" s="216"/>
      <c r="F83" s="217"/>
      <c r="G83" s="217"/>
      <c r="H83" s="217"/>
      <c r="I83" s="217"/>
      <c r="J83" s="217"/>
      <c r="K83" s="264"/>
      <c r="L83" s="264"/>
      <c r="M83" s="176"/>
      <c r="N83" s="68"/>
      <c r="O83" s="68"/>
      <c r="P83" s="68"/>
      <c r="Q83" s="68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3.75"/>
    <col customWidth="1" min="6" max="6" width="18.88"/>
    <col customWidth="1" min="7" max="7" width="9.38"/>
    <col customWidth="1" min="8" max="8" width="8.63"/>
    <col customWidth="1" min="9" max="9" width="9.5"/>
    <col customWidth="1" min="10" max="10" width="12.5"/>
    <col customWidth="1" min="11" max="11" width="15.5"/>
    <col customWidth="1" min="12" max="12" width="11.88"/>
    <col customWidth="1" min="13" max="15" width="16.63"/>
  </cols>
  <sheetData>
    <row r="1" ht="8.25" customHeight="1">
      <c r="A1" s="68"/>
      <c r="B1" s="68"/>
      <c r="C1" s="175"/>
      <c r="D1" s="128"/>
      <c r="E1" s="129"/>
      <c r="F1" s="130"/>
      <c r="G1" s="130"/>
      <c r="H1" s="130"/>
      <c r="I1" s="130"/>
      <c r="J1" s="130"/>
      <c r="K1" s="68"/>
      <c r="L1" s="68"/>
      <c r="M1" s="68"/>
      <c r="N1" s="68"/>
      <c r="O1" s="68"/>
    </row>
    <row r="2">
      <c r="A2" s="68"/>
      <c r="B2" s="221" t="s">
        <v>267</v>
      </c>
      <c r="C2" s="222" t="s">
        <v>431</v>
      </c>
      <c r="D2" s="133"/>
      <c r="E2" s="134"/>
      <c r="F2" s="135" t="s">
        <v>310</v>
      </c>
      <c r="K2" s="68"/>
      <c r="L2" s="68"/>
      <c r="M2" s="68"/>
      <c r="N2" s="68"/>
      <c r="O2" s="68"/>
    </row>
    <row r="3">
      <c r="A3" s="68"/>
      <c r="B3" s="248"/>
      <c r="C3" s="133"/>
      <c r="D3" s="133"/>
      <c r="E3" s="136" t="s">
        <v>311</v>
      </c>
      <c r="F3" s="138" t="s">
        <v>312</v>
      </c>
      <c r="G3" s="138" t="s">
        <v>313</v>
      </c>
      <c r="H3" s="138" t="s">
        <v>315</v>
      </c>
      <c r="I3" s="138" t="s">
        <v>316</v>
      </c>
      <c r="J3" s="138" t="s">
        <v>447</v>
      </c>
      <c r="K3" s="138" t="s">
        <v>317</v>
      </c>
      <c r="L3" s="68"/>
      <c r="M3" s="68"/>
      <c r="N3" s="68"/>
      <c r="O3" s="68"/>
    </row>
    <row r="4">
      <c r="A4" s="68"/>
      <c r="B4" s="219" t="s">
        <v>84</v>
      </c>
      <c r="C4" s="220" t="s">
        <v>6</v>
      </c>
      <c r="D4" s="133"/>
      <c r="E4" s="117" t="s">
        <v>320</v>
      </c>
      <c r="F4" s="309">
        <v>0.0197</v>
      </c>
      <c r="G4" s="309">
        <v>0.0053</v>
      </c>
      <c r="H4" s="309">
        <v>0.0033</v>
      </c>
      <c r="I4" s="309">
        <v>0.0029</v>
      </c>
      <c r="J4" s="309">
        <v>0.0022</v>
      </c>
      <c r="K4" s="68"/>
      <c r="L4" s="68"/>
      <c r="M4" s="68"/>
      <c r="N4" s="68"/>
      <c r="O4" s="68"/>
    </row>
    <row r="5">
      <c r="A5" s="68"/>
      <c r="B5" s="225" t="s">
        <v>28</v>
      </c>
      <c r="C5" s="226" t="s">
        <v>68</v>
      </c>
      <c r="D5" s="133"/>
      <c r="E5" s="143" t="s">
        <v>322</v>
      </c>
      <c r="F5" s="144">
        <f t="shared" ref="F5:J5" si="1">F4*$C$9</f>
        <v>23403600</v>
      </c>
      <c r="G5" s="144">
        <f t="shared" si="1"/>
        <v>6296400</v>
      </c>
      <c r="H5" s="144">
        <f t="shared" si="1"/>
        <v>3920400</v>
      </c>
      <c r="I5" s="144">
        <f t="shared" si="1"/>
        <v>3445200</v>
      </c>
      <c r="J5" s="144">
        <f t="shared" si="1"/>
        <v>2613600</v>
      </c>
      <c r="K5" s="96"/>
      <c r="L5" s="96"/>
      <c r="M5" s="96"/>
      <c r="N5" s="68"/>
      <c r="O5" s="68"/>
    </row>
    <row r="6">
      <c r="A6" s="68"/>
      <c r="B6" s="68"/>
      <c r="C6" s="175"/>
      <c r="D6" s="133"/>
      <c r="E6" s="134" t="s">
        <v>323</v>
      </c>
      <c r="F6" s="310">
        <f t="shared" ref="F6:J6" si="2">F7*F8</f>
        <v>0.198</v>
      </c>
      <c r="G6" s="310">
        <f t="shared" si="2"/>
        <v>0.198</v>
      </c>
      <c r="H6" s="310">
        <f t="shared" si="2"/>
        <v>0.198</v>
      </c>
      <c r="I6" s="310">
        <f t="shared" si="2"/>
        <v>0.198</v>
      </c>
      <c r="J6" s="310">
        <f t="shared" si="2"/>
        <v>0.198</v>
      </c>
      <c r="K6" s="96"/>
      <c r="L6" s="96"/>
      <c r="M6" s="96"/>
      <c r="N6" s="68"/>
      <c r="O6" s="68"/>
    </row>
    <row r="7">
      <c r="A7" s="68"/>
      <c r="B7" s="68"/>
      <c r="C7" s="68"/>
      <c r="D7" s="133"/>
      <c r="E7" s="148" t="s">
        <v>324</v>
      </c>
      <c r="F7" s="311">
        <v>0.22</v>
      </c>
      <c r="G7" s="311">
        <v>0.22</v>
      </c>
      <c r="H7" s="311">
        <v>0.22</v>
      </c>
      <c r="I7" s="311">
        <v>0.22</v>
      </c>
      <c r="J7" s="311">
        <v>0.22</v>
      </c>
      <c r="K7" s="96"/>
      <c r="L7" s="96"/>
      <c r="M7" s="96"/>
      <c r="N7" s="68"/>
      <c r="O7" s="68"/>
    </row>
    <row r="8">
      <c r="A8" s="68"/>
      <c r="B8" s="237" t="s">
        <v>292</v>
      </c>
      <c r="C8" s="238"/>
      <c r="D8" s="133"/>
      <c r="E8" s="150" t="s">
        <v>325</v>
      </c>
      <c r="F8" s="312">
        <v>0.9</v>
      </c>
      <c r="G8" s="312">
        <v>0.9</v>
      </c>
      <c r="H8" s="312">
        <v>0.9</v>
      </c>
      <c r="I8" s="312">
        <v>0.9</v>
      </c>
      <c r="J8" s="312">
        <v>0.9</v>
      </c>
      <c r="K8" s="96"/>
      <c r="L8" s="96"/>
      <c r="M8" s="96"/>
      <c r="N8" s="68"/>
      <c r="O8" s="68"/>
    </row>
    <row r="9">
      <c r="A9" s="68"/>
      <c r="B9" s="243" t="s">
        <v>293</v>
      </c>
      <c r="C9" s="313">
        <f>99000000*12</f>
        <v>1188000000</v>
      </c>
      <c r="D9" s="133"/>
      <c r="E9" s="117" t="s">
        <v>326</v>
      </c>
      <c r="F9" s="144">
        <f t="shared" ref="F9:J9" si="3">round(F5*F6,0)</f>
        <v>4633913</v>
      </c>
      <c r="G9" s="144">
        <f t="shared" si="3"/>
        <v>1246687</v>
      </c>
      <c r="H9" s="144">
        <f t="shared" si="3"/>
        <v>776239</v>
      </c>
      <c r="I9" s="144">
        <f t="shared" si="3"/>
        <v>682150</v>
      </c>
      <c r="J9" s="144">
        <f t="shared" si="3"/>
        <v>517493</v>
      </c>
      <c r="K9" s="96"/>
      <c r="L9" s="96"/>
      <c r="M9" s="96"/>
      <c r="N9" s="68"/>
      <c r="O9" s="68"/>
    </row>
    <row r="10" outlineLevel="1">
      <c r="A10" s="68"/>
      <c r="B10" s="248" t="s">
        <v>295</v>
      </c>
      <c r="C10" s="314">
        <v>1.12E10</v>
      </c>
      <c r="D10" s="133"/>
      <c r="E10" s="134" t="s">
        <v>327</v>
      </c>
      <c r="F10" s="315">
        <v>200.0</v>
      </c>
      <c r="G10" s="315">
        <v>150.0</v>
      </c>
      <c r="H10" s="315">
        <v>100.0</v>
      </c>
      <c r="I10" s="315">
        <v>160.0</v>
      </c>
      <c r="J10" s="315">
        <v>80.0</v>
      </c>
      <c r="K10" s="96"/>
      <c r="L10" s="96"/>
      <c r="M10" s="96"/>
      <c r="N10" s="68"/>
      <c r="O10" s="68"/>
    </row>
    <row r="11" outlineLevel="1">
      <c r="A11" s="68"/>
      <c r="B11" s="316" t="s">
        <v>297</v>
      </c>
      <c r="C11" s="317">
        <v>0.14</v>
      </c>
      <c r="D11" s="133"/>
      <c r="E11" s="154" t="s">
        <v>329</v>
      </c>
      <c r="F11" s="318">
        <f t="shared" ref="F11:J11" si="4">$C$9*F4*F6*F10</f>
        <v>926782560</v>
      </c>
      <c r="G11" s="318">
        <f t="shared" si="4"/>
        <v>187003080</v>
      </c>
      <c r="H11" s="318">
        <f t="shared" si="4"/>
        <v>77623920</v>
      </c>
      <c r="I11" s="318">
        <f t="shared" si="4"/>
        <v>109143936</v>
      </c>
      <c r="J11" s="318">
        <f t="shared" si="4"/>
        <v>41399424</v>
      </c>
      <c r="K11" s="259" t="s">
        <v>20</v>
      </c>
      <c r="L11" s="96"/>
      <c r="M11" s="96"/>
      <c r="N11" s="68"/>
      <c r="O11" s="68"/>
    </row>
    <row r="12">
      <c r="A12" s="68"/>
      <c r="B12" s="316" t="s">
        <v>299</v>
      </c>
      <c r="C12" s="319">
        <f>C10/C11</f>
        <v>80000000000</v>
      </c>
      <c r="D12" s="133"/>
      <c r="E12" s="148" t="s">
        <v>330</v>
      </c>
      <c r="F12" s="320">
        <v>0.7</v>
      </c>
      <c r="G12" s="320">
        <v>1.0</v>
      </c>
      <c r="H12" s="320">
        <v>1.0</v>
      </c>
      <c r="I12" s="320">
        <v>1.0</v>
      </c>
      <c r="J12" s="320">
        <v>1.0</v>
      </c>
      <c r="K12" s="96"/>
      <c r="L12" s="96"/>
      <c r="M12" s="96"/>
      <c r="N12" s="68"/>
      <c r="O12" s="68"/>
    </row>
    <row r="13">
      <c r="A13" s="68"/>
      <c r="B13" s="68"/>
      <c r="C13" s="68"/>
      <c r="D13" s="133"/>
      <c r="E13" s="150" t="s">
        <v>334</v>
      </c>
      <c r="F13" s="321">
        <v>0.3</v>
      </c>
      <c r="G13" s="321">
        <v>0.0</v>
      </c>
      <c r="H13" s="321">
        <v>0.0</v>
      </c>
      <c r="I13" s="321">
        <v>0.0</v>
      </c>
      <c r="J13" s="321">
        <v>0.0</v>
      </c>
      <c r="K13" s="96"/>
      <c r="L13" s="96"/>
      <c r="M13" s="96"/>
      <c r="N13" s="96"/>
      <c r="O13" s="96"/>
    </row>
    <row r="14">
      <c r="A14" s="68"/>
      <c r="B14" s="103" t="s">
        <v>14</v>
      </c>
      <c r="C14" s="104" t="s">
        <v>13</v>
      </c>
      <c r="D14" s="133"/>
      <c r="E14" s="322"/>
      <c r="F14" s="217"/>
      <c r="G14" s="217"/>
      <c r="H14" s="217"/>
      <c r="I14" s="217"/>
      <c r="J14" s="217"/>
      <c r="K14" s="96"/>
      <c r="L14" s="96"/>
      <c r="M14" s="96"/>
      <c r="N14" s="96"/>
      <c r="O14" s="96"/>
    </row>
    <row r="15">
      <c r="A15" s="68"/>
      <c r="B15" s="106" t="s">
        <v>16</v>
      </c>
      <c r="C15" s="252" t="s">
        <v>15</v>
      </c>
      <c r="D15" s="133"/>
      <c r="E15" s="164" t="s">
        <v>337</v>
      </c>
      <c r="F15" s="165"/>
      <c r="G15" s="165"/>
      <c r="H15" s="165"/>
      <c r="I15" s="165"/>
      <c r="J15" s="165"/>
      <c r="K15" s="96"/>
      <c r="L15" s="96"/>
      <c r="M15" s="96"/>
      <c r="N15" s="96"/>
      <c r="O15" s="96"/>
    </row>
    <row r="16">
      <c r="A16" s="68"/>
      <c r="B16" s="109" t="s">
        <v>18</v>
      </c>
      <c r="C16" s="253" t="s">
        <v>396</v>
      </c>
      <c r="D16" s="133"/>
      <c r="E16" s="166" t="s">
        <v>338</v>
      </c>
      <c r="F16" s="323">
        <f>AVERAGE(VLOOKUP($C$5, 'Aceptance Rate Delta per Indust'!$B$3:$E$40, 3, FALSE), VLOOKUP($C$5, 'Aceptance Rate Delta per Indust'!$B$3:$E$40, 4, FALSE))</f>
        <v>0.045</v>
      </c>
      <c r="G16" s="323">
        <f>AVERAGE(VLOOKUP($C$5, 'Aceptance Rate Delta per Indust'!$B$3:$E$40, 3, FALSE), VLOOKUP($C$5, 'Aceptance Rate Delta per Indust'!$B$3:$E$40, 4, FALSE))</f>
        <v>0.045</v>
      </c>
      <c r="H16" s="323">
        <f>AVERAGE(VLOOKUP($C$5, 'Aceptance Rate Delta per Indust'!$B$3:$E$40, 3, FALSE), VLOOKUP($C$5, 'Aceptance Rate Delta per Indust'!$B$3:$E$40, 4, FALSE))</f>
        <v>0.045</v>
      </c>
      <c r="I16" s="323">
        <f>AVERAGE(VLOOKUP($C$5, 'Aceptance Rate Delta per Indust'!$B$3:$E$40, 3, FALSE), VLOOKUP($C$5, 'Aceptance Rate Delta per Indust'!$B$3:$E$40, 4, FALSE))</f>
        <v>0.045</v>
      </c>
      <c r="J16" s="323">
        <f>AVERAGE(VLOOKUP($C$5, 'Aceptance Rate Delta per Indust'!$B$3:$E$40, 3, FALSE), VLOOKUP($C$5, 'Aceptance Rate Delta per Indust'!$B$3:$E$40, 4, FALSE))</f>
        <v>0.045</v>
      </c>
      <c r="K16" s="259" t="s">
        <v>20</v>
      </c>
      <c r="L16" s="68"/>
      <c r="M16" s="96"/>
      <c r="N16" s="96"/>
      <c r="O16" s="96"/>
    </row>
    <row r="17">
      <c r="A17" s="68"/>
      <c r="B17" s="324" t="s">
        <v>20</v>
      </c>
      <c r="C17" s="325" t="s">
        <v>301</v>
      </c>
      <c r="D17" s="133"/>
      <c r="E17" s="170" t="s">
        <v>339</v>
      </c>
      <c r="F17" s="326">
        <f t="shared" ref="F17:J17" si="5">F11*F16</f>
        <v>41705215.2</v>
      </c>
      <c r="G17" s="326">
        <f t="shared" si="5"/>
        <v>8415138.6</v>
      </c>
      <c r="H17" s="326">
        <f t="shared" si="5"/>
        <v>3493076.4</v>
      </c>
      <c r="I17" s="326">
        <f t="shared" si="5"/>
        <v>4911477.12</v>
      </c>
      <c r="J17" s="326">
        <f t="shared" si="5"/>
        <v>1862974.08</v>
      </c>
      <c r="K17" s="259" t="s">
        <v>20</v>
      </c>
      <c r="L17" s="327">
        <f>sum(F17:J17)</f>
        <v>60387881.4</v>
      </c>
      <c r="M17" s="96"/>
      <c r="N17" s="96"/>
      <c r="O17" s="96"/>
    </row>
    <row r="18">
      <c r="A18" s="68"/>
      <c r="B18" s="117"/>
      <c r="C18" s="117"/>
      <c r="D18" s="133"/>
      <c r="E18" s="173" t="s">
        <v>340</v>
      </c>
      <c r="F18" s="328">
        <f t="shared" ref="F18:J18" si="6">F17*$C$11</f>
        <v>5838730.128</v>
      </c>
      <c r="G18" s="328">
        <f t="shared" si="6"/>
        <v>1178119.404</v>
      </c>
      <c r="H18" s="328">
        <f t="shared" si="6"/>
        <v>489030.696</v>
      </c>
      <c r="I18" s="328">
        <f t="shared" si="6"/>
        <v>687606.7968</v>
      </c>
      <c r="J18" s="328">
        <f t="shared" si="6"/>
        <v>260816.3712</v>
      </c>
      <c r="K18" s="328">
        <f>SUM(F18:J18)</f>
        <v>8454303.396</v>
      </c>
      <c r="L18" s="259" t="s">
        <v>20</v>
      </c>
      <c r="M18" s="96"/>
      <c r="N18" s="96"/>
      <c r="O18" s="96"/>
    </row>
    <row r="19">
      <c r="A19" s="68"/>
      <c r="B19" s="117"/>
      <c r="C19" s="117"/>
      <c r="D19" s="133"/>
      <c r="E19" s="68"/>
      <c r="F19" s="175"/>
      <c r="G19" s="175"/>
      <c r="H19" s="175"/>
      <c r="I19" s="175"/>
      <c r="J19" s="175"/>
      <c r="K19" s="176"/>
      <c r="L19" s="68"/>
      <c r="M19" s="96"/>
      <c r="N19" s="96"/>
      <c r="O19" s="96"/>
    </row>
    <row r="20">
      <c r="A20" s="68"/>
      <c r="B20" s="117"/>
      <c r="C20" s="117"/>
      <c r="D20" s="133"/>
      <c r="E20" s="177" t="s">
        <v>341</v>
      </c>
      <c r="F20" s="178">
        <f t="shared" ref="F20:J20" si="7">F$11*F12+F17</f>
        <v>690453007.2</v>
      </c>
      <c r="G20" s="178">
        <f t="shared" si="7"/>
        <v>195418218.6</v>
      </c>
      <c r="H20" s="178">
        <f t="shared" si="7"/>
        <v>81116996.4</v>
      </c>
      <c r="I20" s="178">
        <f t="shared" si="7"/>
        <v>114055413.1</v>
      </c>
      <c r="J20" s="178">
        <f t="shared" si="7"/>
        <v>43262398.08</v>
      </c>
      <c r="K20" s="68"/>
      <c r="L20" s="68"/>
      <c r="M20" s="96"/>
      <c r="N20" s="96"/>
      <c r="O20" s="96"/>
    </row>
    <row r="21">
      <c r="A21" s="68"/>
      <c r="B21" s="117"/>
      <c r="C21" s="117"/>
      <c r="D21" s="133"/>
      <c r="E21" s="179" t="s">
        <v>342</v>
      </c>
      <c r="F21" s="329" t="s">
        <v>413</v>
      </c>
      <c r="G21" s="330" t="s">
        <v>414</v>
      </c>
      <c r="H21" s="330" t="s">
        <v>414</v>
      </c>
      <c r="I21" s="330" t="s">
        <v>414</v>
      </c>
      <c r="J21" s="330" t="s">
        <v>414</v>
      </c>
      <c r="K21" s="68"/>
      <c r="L21" s="68"/>
      <c r="M21" s="96"/>
      <c r="N21" s="96"/>
      <c r="O21" s="96"/>
    </row>
    <row r="22">
      <c r="A22" s="68"/>
      <c r="B22" s="117"/>
      <c r="C22" s="117"/>
      <c r="D22" s="133"/>
      <c r="E22" s="182" t="s">
        <v>345</v>
      </c>
      <c r="F22" s="149">
        <f>if(F21="Yes",VLOOKUP($C$5,'Aceptance Rate Delta per Indust'!$B$3:$G$40,5,FALSE),VLOOKUP($C$5,'Aceptance Rate Delta per Indust'!$B$3:$G$40,6,FALSE))</f>
        <v>0.028</v>
      </c>
      <c r="G22" s="149">
        <f>if(G21="Yes",VLOOKUP($C$5,'Aceptance Rate Delta per Indust'!$B$3:$G$40,5,FALSE),VLOOKUP($C$5,'Aceptance Rate Delta per Indust'!$B$3:$G$40,6,FALSE))</f>
        <v>0.06</v>
      </c>
      <c r="H22" s="149">
        <f>if(H21="Yes",VLOOKUP($C$5,'Aceptance Rate Delta per Indust'!$B$3:$G$40,5,FALSE),VLOOKUP($C$5,'Aceptance Rate Delta per Indust'!$B$3:$G$40,6,FALSE))</f>
        <v>0.06</v>
      </c>
      <c r="I22" s="149">
        <f>if(I21="Yes",VLOOKUP($C$5,'Aceptance Rate Delta per Indust'!$B$3:$G$40,5,FALSE),VLOOKUP($C$5,'Aceptance Rate Delta per Indust'!$B$3:$G$40,6,FALSE))</f>
        <v>0.06</v>
      </c>
      <c r="J22" s="149">
        <f>if(J21="Yes",VLOOKUP($C$5,'Aceptance Rate Delta per Indust'!$B$3:$G$40,5,FALSE),VLOOKUP($C$5,'Aceptance Rate Delta per Indust'!$B$3:$G$40,6,FALSE))</f>
        <v>0.06</v>
      </c>
      <c r="K22" s="68"/>
      <c r="L22" s="68"/>
      <c r="M22" s="68"/>
      <c r="N22" s="68"/>
      <c r="O22" s="68"/>
    </row>
    <row r="23">
      <c r="A23" s="68"/>
      <c r="B23" s="257"/>
      <c r="C23" s="331"/>
      <c r="D23" s="133"/>
      <c r="E23" s="183" t="s">
        <v>347</v>
      </c>
      <c r="F23" s="184">
        <f>-if(F21="Yes",0,(VLOOKUP($C$5,'Aceptance Rate Delta per Indust'!$B$3:$G$40,6,FALSE)-VLOOKUP($C$5,'Aceptance Rate Delta per Indust'!$B$3:$G$40,5,FALSE)))</f>
        <v>0</v>
      </c>
      <c r="G23" s="184">
        <f>-if(G21="Yes",0,(VLOOKUP($C$5,'Aceptance Rate Delta per Indust'!$B$3:$G$40,6,FALSE)-VLOOKUP($C$5,'Aceptance Rate Delta per Indust'!$B$3:$G$40,5,FALSE)))</f>
        <v>-0.032</v>
      </c>
      <c r="H23" s="184">
        <f>-if(H21="Yes",0,(VLOOKUP($C$5,'Aceptance Rate Delta per Indust'!$B$3:$G$40,6,FALSE)-VLOOKUP($C$5,'Aceptance Rate Delta per Indust'!$B$3:$G$40,5,FALSE)))</f>
        <v>-0.032</v>
      </c>
      <c r="I23" s="184">
        <f>-if(I21="Yes",0,(VLOOKUP($C$5,'Aceptance Rate Delta per Indust'!$B$3:$G$40,6,FALSE)-VLOOKUP($C$5,'Aceptance Rate Delta per Indust'!$B$3:$G$40,5,FALSE)))</f>
        <v>-0.032</v>
      </c>
      <c r="J23" s="184">
        <f>-if(J21="Yes",0,(VLOOKUP($C$5,'Aceptance Rate Delta per Indust'!$B$3:$G$40,6,FALSE)-VLOOKUP($C$5,'Aceptance Rate Delta per Indust'!$B$3:$G$40,5,FALSE)))</f>
        <v>-0.032</v>
      </c>
      <c r="K23" s="68"/>
      <c r="L23" s="68"/>
      <c r="M23" s="68"/>
      <c r="N23" s="68"/>
      <c r="O23" s="68"/>
    </row>
    <row r="24">
      <c r="A24" s="68"/>
      <c r="B24" s="257"/>
      <c r="C24" s="245"/>
      <c r="D24" s="133"/>
      <c r="E24" s="185" t="s">
        <v>349</v>
      </c>
      <c r="F24" s="186">
        <f t="shared" ref="F24:J24" si="8">F22+F23</f>
        <v>0.028</v>
      </c>
      <c r="G24" s="186">
        <f t="shared" si="8"/>
        <v>0.028</v>
      </c>
      <c r="H24" s="186">
        <f t="shared" si="8"/>
        <v>0.028</v>
      </c>
      <c r="I24" s="186">
        <f t="shared" si="8"/>
        <v>0.028</v>
      </c>
      <c r="J24" s="186">
        <f t="shared" si="8"/>
        <v>0.028</v>
      </c>
      <c r="K24" s="68"/>
      <c r="L24" s="68"/>
      <c r="M24" s="68"/>
      <c r="N24" s="68"/>
      <c r="O24" s="68"/>
    </row>
    <row r="25">
      <c r="A25" s="68"/>
      <c r="B25" s="117"/>
      <c r="C25" s="176"/>
      <c r="D25" s="128"/>
      <c r="E25" s="187" t="s">
        <v>350</v>
      </c>
      <c r="F25" s="193">
        <f t="shared" ref="F25:J25" si="9">F23*F20*-1</f>
        <v>0</v>
      </c>
      <c r="G25" s="193">
        <f t="shared" si="9"/>
        <v>6253382.995</v>
      </c>
      <c r="H25" s="193">
        <f t="shared" si="9"/>
        <v>2595743.885</v>
      </c>
      <c r="I25" s="193">
        <f t="shared" si="9"/>
        <v>3649773.22</v>
      </c>
      <c r="J25" s="193">
        <f t="shared" si="9"/>
        <v>1384396.739</v>
      </c>
      <c r="K25" s="193">
        <f>SUM(F25:J25)</f>
        <v>13883296.84</v>
      </c>
      <c r="L25" s="259" t="s">
        <v>20</v>
      </c>
      <c r="M25" s="68"/>
      <c r="N25" s="68"/>
      <c r="O25" s="68"/>
    </row>
    <row r="26">
      <c r="A26" s="68"/>
      <c r="B26" s="117"/>
      <c r="C26" s="176"/>
      <c r="D26" s="128"/>
      <c r="E26" s="68"/>
      <c r="F26" s="176"/>
      <c r="G26" s="176"/>
      <c r="H26" s="175"/>
      <c r="I26" s="175"/>
      <c r="J26" s="175"/>
      <c r="K26" s="68"/>
      <c r="L26" s="68"/>
      <c r="M26" s="68"/>
      <c r="N26" s="68"/>
      <c r="O26" s="68"/>
    </row>
    <row r="27">
      <c r="A27" s="68"/>
      <c r="B27" s="117"/>
      <c r="C27" s="176"/>
      <c r="D27" s="128"/>
      <c r="E27" s="187" t="s">
        <v>351</v>
      </c>
      <c r="F27" s="193">
        <f t="shared" ref="F27:J27" si="10">F25+F18</f>
        <v>5838730.128</v>
      </c>
      <c r="G27" s="193">
        <f t="shared" si="10"/>
        <v>7431502.399</v>
      </c>
      <c r="H27" s="193">
        <f t="shared" si="10"/>
        <v>3084774.581</v>
      </c>
      <c r="I27" s="193">
        <f t="shared" si="10"/>
        <v>4337380.017</v>
      </c>
      <c r="J27" s="193">
        <f t="shared" si="10"/>
        <v>1645213.11</v>
      </c>
      <c r="K27" s="193">
        <f>SUM(F27:J27)</f>
        <v>22337600.23</v>
      </c>
      <c r="L27" s="259" t="s">
        <v>20</v>
      </c>
      <c r="M27" s="68"/>
      <c r="N27" s="68"/>
      <c r="O27" s="68"/>
    </row>
    <row r="28">
      <c r="A28" s="68"/>
      <c r="B28" s="117"/>
      <c r="C28" s="176"/>
      <c r="D28" s="128"/>
      <c r="E28" s="68"/>
      <c r="F28" s="175"/>
      <c r="G28" s="175"/>
      <c r="H28" s="175"/>
      <c r="I28" s="175"/>
      <c r="J28" s="175"/>
      <c r="K28" s="68"/>
      <c r="L28" s="68"/>
      <c r="M28" s="68"/>
      <c r="N28" s="68"/>
      <c r="O28" s="68"/>
    </row>
    <row r="29">
      <c r="A29" s="68"/>
      <c r="B29" s="117"/>
      <c r="C29" s="176"/>
      <c r="D29" s="128"/>
      <c r="E29" s="164" t="s">
        <v>353</v>
      </c>
      <c r="F29" s="165"/>
      <c r="G29" s="165"/>
      <c r="H29" s="165"/>
      <c r="I29" s="165"/>
      <c r="J29" s="165"/>
      <c r="K29" s="176"/>
      <c r="L29" s="176"/>
      <c r="M29" s="68"/>
      <c r="N29" s="68"/>
      <c r="O29" s="68"/>
    </row>
    <row r="30">
      <c r="A30" s="68"/>
      <c r="B30" s="117"/>
      <c r="C30" s="176"/>
      <c r="D30" s="128"/>
      <c r="E30" s="177" t="s">
        <v>360</v>
      </c>
      <c r="F30" s="178">
        <f t="shared" ref="F30:J30" si="11">F$11*F22+F27</f>
        <v>31788641.81</v>
      </c>
      <c r="G30" s="178">
        <f t="shared" si="11"/>
        <v>18651687.2</v>
      </c>
      <c r="H30" s="178">
        <f t="shared" si="11"/>
        <v>7742209.781</v>
      </c>
      <c r="I30" s="178">
        <f t="shared" si="11"/>
        <v>10886016.18</v>
      </c>
      <c r="J30" s="178">
        <f t="shared" si="11"/>
        <v>4129178.55</v>
      </c>
      <c r="K30" s="176"/>
      <c r="L30" s="176"/>
      <c r="M30" s="68"/>
      <c r="N30" s="68"/>
      <c r="O30" s="68"/>
    </row>
    <row r="31">
      <c r="A31" s="68"/>
      <c r="B31" s="117"/>
      <c r="C31" s="176"/>
      <c r="D31" s="128"/>
      <c r="E31" s="197" t="s">
        <v>361</v>
      </c>
      <c r="F31" s="332">
        <v>1.0</v>
      </c>
      <c r="G31" s="332">
        <v>0.0</v>
      </c>
      <c r="H31" s="332">
        <v>0.0</v>
      </c>
      <c r="I31" s="332">
        <v>0.0</v>
      </c>
      <c r="J31" s="332">
        <v>0.0</v>
      </c>
      <c r="K31" s="176"/>
      <c r="L31" s="176"/>
      <c r="M31" s="68"/>
      <c r="N31" s="68"/>
      <c r="O31" s="68"/>
    </row>
    <row r="32">
      <c r="A32" s="68"/>
      <c r="B32" s="117"/>
      <c r="C32" s="176"/>
      <c r="D32" s="128"/>
      <c r="E32" s="198" t="s">
        <v>363</v>
      </c>
      <c r="F32" s="333">
        <v>3.0</v>
      </c>
      <c r="G32" s="333">
        <v>3.0</v>
      </c>
      <c r="H32" s="333">
        <v>3.0</v>
      </c>
      <c r="I32" s="333">
        <v>3.0</v>
      </c>
      <c r="J32" s="333">
        <v>2.0</v>
      </c>
      <c r="K32" s="176"/>
      <c r="L32" s="176"/>
      <c r="M32" s="68"/>
      <c r="N32" s="68"/>
      <c r="O32" s="68"/>
    </row>
    <row r="33">
      <c r="A33" s="68"/>
      <c r="B33" s="117"/>
      <c r="C33" s="176"/>
      <c r="D33" s="128"/>
      <c r="E33" s="197" t="s">
        <v>448</v>
      </c>
      <c r="F33" s="200">
        <v>0.0</v>
      </c>
      <c r="G33" s="200">
        <v>0.0</v>
      </c>
      <c r="H33" s="200">
        <v>0.0</v>
      </c>
      <c r="I33" s="200">
        <v>0.0</v>
      </c>
      <c r="J33" s="200">
        <v>0.0</v>
      </c>
      <c r="K33" s="176"/>
      <c r="L33" s="176"/>
      <c r="M33" s="68"/>
      <c r="N33" s="68"/>
      <c r="O33" s="68"/>
    </row>
    <row r="34">
      <c r="A34" s="68"/>
      <c r="B34" s="117"/>
      <c r="C34" s="176"/>
      <c r="D34" s="71" t="s">
        <v>417</v>
      </c>
      <c r="E34" s="198" t="s">
        <v>365</v>
      </c>
      <c r="F34" s="334">
        <v>0.04</v>
      </c>
      <c r="G34" s="334">
        <v>0.35</v>
      </c>
      <c r="H34" s="334">
        <v>0.34</v>
      </c>
      <c r="I34" s="334">
        <v>0.35</v>
      </c>
      <c r="J34" s="334">
        <v>0.2</v>
      </c>
      <c r="K34" s="176"/>
      <c r="L34" s="176"/>
      <c r="M34" s="68"/>
      <c r="N34" s="68"/>
      <c r="O34" s="68"/>
    </row>
    <row r="35">
      <c r="A35" s="68"/>
      <c r="B35" s="117"/>
      <c r="C35" s="176"/>
      <c r="D35" s="128"/>
      <c r="E35" s="202" t="s">
        <v>367</v>
      </c>
      <c r="F35" s="335">
        <f t="shared" ref="F35:J35" si="12">((1+F33)+(1+F34)-1)*F11-F11</f>
        <v>37071302.4</v>
      </c>
      <c r="G35" s="335">
        <f t="shared" si="12"/>
        <v>65451078</v>
      </c>
      <c r="H35" s="335">
        <f t="shared" si="12"/>
        <v>26392132.8</v>
      </c>
      <c r="I35" s="335">
        <f t="shared" si="12"/>
        <v>38200377.6</v>
      </c>
      <c r="J35" s="335">
        <f t="shared" si="12"/>
        <v>8279884.8</v>
      </c>
      <c r="K35" s="259" t="s">
        <v>20</v>
      </c>
      <c r="L35" s="176"/>
      <c r="M35" s="68"/>
      <c r="N35" s="68"/>
      <c r="O35" s="68"/>
    </row>
    <row r="36">
      <c r="A36" s="68"/>
      <c r="B36" s="117"/>
      <c r="C36" s="176"/>
      <c r="D36" s="128"/>
      <c r="E36" s="68"/>
      <c r="F36" s="175"/>
      <c r="G36" s="175"/>
      <c r="H36" s="175"/>
      <c r="I36" s="175"/>
      <c r="J36" s="175"/>
      <c r="K36" s="68"/>
      <c r="L36" s="68"/>
      <c r="M36" s="68"/>
      <c r="N36" s="68"/>
      <c r="O36" s="68"/>
    </row>
    <row r="37">
      <c r="A37" s="68"/>
      <c r="B37" s="117"/>
      <c r="C37" s="176"/>
      <c r="D37" s="128"/>
      <c r="E37" s="187" t="s">
        <v>368</v>
      </c>
      <c r="F37" s="193">
        <f t="shared" ref="F37:J37" si="13">F35*$C$11</f>
        <v>5189982.336</v>
      </c>
      <c r="G37" s="193">
        <f t="shared" si="13"/>
        <v>9163150.92</v>
      </c>
      <c r="H37" s="193">
        <f t="shared" si="13"/>
        <v>3694898.592</v>
      </c>
      <c r="I37" s="193">
        <f t="shared" si="13"/>
        <v>5348052.864</v>
      </c>
      <c r="J37" s="193">
        <f t="shared" si="13"/>
        <v>1159183.872</v>
      </c>
      <c r="K37" s="176"/>
      <c r="L37" s="176"/>
      <c r="M37" s="68"/>
      <c r="N37" s="68"/>
      <c r="O37" s="68"/>
    </row>
    <row r="38">
      <c r="A38" s="68"/>
      <c r="B38" s="117"/>
      <c r="C38" s="176"/>
      <c r="D38" s="128"/>
      <c r="E38" s="68"/>
      <c r="F38" s="175"/>
      <c r="G38" s="175"/>
      <c r="H38" s="175"/>
      <c r="I38" s="175"/>
      <c r="J38" s="175"/>
      <c r="K38" s="176"/>
      <c r="L38" s="176"/>
      <c r="M38" s="68"/>
      <c r="N38" s="68"/>
      <c r="O38" s="68"/>
    </row>
    <row r="39">
      <c r="A39" s="68"/>
      <c r="B39" s="117"/>
      <c r="C39" s="176"/>
      <c r="D39" s="128"/>
      <c r="E39" s="197" t="s">
        <v>369</v>
      </c>
      <c r="F39" s="200">
        <v>0.02</v>
      </c>
      <c r="G39" s="200">
        <v>0.05</v>
      </c>
      <c r="H39" s="200">
        <v>0.05</v>
      </c>
      <c r="I39" s="200">
        <v>0.05</v>
      </c>
      <c r="J39" s="200">
        <v>0.05</v>
      </c>
      <c r="K39" s="176"/>
      <c r="L39" s="176"/>
      <c r="M39" s="68"/>
      <c r="N39" s="68"/>
      <c r="O39" s="68"/>
    </row>
    <row r="40">
      <c r="A40" s="68"/>
      <c r="B40" s="117"/>
      <c r="C40" s="176"/>
      <c r="D40" s="128"/>
      <c r="E40" s="208" t="s">
        <v>371</v>
      </c>
      <c r="F40" s="209">
        <f t="shared" ref="F40:J40" si="14">F39*F11</f>
        <v>18535651.2</v>
      </c>
      <c r="G40" s="209">
        <f t="shared" si="14"/>
        <v>9350154</v>
      </c>
      <c r="H40" s="209">
        <f t="shared" si="14"/>
        <v>3881196</v>
      </c>
      <c r="I40" s="209">
        <f t="shared" si="14"/>
        <v>5457196.8</v>
      </c>
      <c r="J40" s="209">
        <f t="shared" si="14"/>
        <v>2069971.2</v>
      </c>
      <c r="K40" s="176"/>
      <c r="L40" s="176"/>
      <c r="M40" s="68"/>
      <c r="N40" s="68"/>
      <c r="O40" s="68"/>
    </row>
    <row r="41">
      <c r="A41" s="68"/>
      <c r="B41" s="117"/>
      <c r="C41" s="176"/>
      <c r="D41" s="128"/>
      <c r="E41" s="68"/>
      <c r="F41" s="175"/>
      <c r="G41" s="175"/>
      <c r="H41" s="175"/>
      <c r="I41" s="175"/>
      <c r="J41" s="175"/>
      <c r="K41" s="176"/>
      <c r="L41" s="176"/>
      <c r="M41" s="68"/>
      <c r="N41" s="68"/>
      <c r="O41" s="68"/>
    </row>
    <row r="42">
      <c r="A42" s="68"/>
      <c r="B42" s="117"/>
      <c r="C42" s="176"/>
      <c r="D42" s="128"/>
      <c r="E42" s="185" t="s">
        <v>372</v>
      </c>
      <c r="F42" s="336">
        <f t="shared" ref="F42:J42" si="15">F24</f>
        <v>0.028</v>
      </c>
      <c r="G42" s="336">
        <f t="shared" si="15"/>
        <v>0.028</v>
      </c>
      <c r="H42" s="336">
        <f t="shared" si="15"/>
        <v>0.028</v>
      </c>
      <c r="I42" s="336">
        <f t="shared" si="15"/>
        <v>0.028</v>
      </c>
      <c r="J42" s="336">
        <f t="shared" si="15"/>
        <v>0.028</v>
      </c>
      <c r="K42" s="176"/>
      <c r="L42" s="176"/>
      <c r="M42" s="68"/>
      <c r="N42" s="68"/>
      <c r="O42" s="68"/>
    </row>
    <row r="43">
      <c r="A43" s="68"/>
      <c r="B43" s="117"/>
      <c r="C43" s="176"/>
      <c r="D43" s="128"/>
      <c r="E43" s="211" t="s">
        <v>373</v>
      </c>
      <c r="F43" s="321">
        <v>0.015</v>
      </c>
      <c r="G43" s="321">
        <v>0.015</v>
      </c>
      <c r="H43" s="321">
        <v>0.015</v>
      </c>
      <c r="I43" s="321">
        <v>0.015</v>
      </c>
      <c r="J43" s="321">
        <v>0.015</v>
      </c>
      <c r="K43" s="176"/>
      <c r="L43" s="176"/>
      <c r="M43" s="68"/>
      <c r="N43" s="68"/>
      <c r="O43" s="68"/>
    </row>
    <row r="44">
      <c r="A44" s="68"/>
      <c r="B44" s="117"/>
      <c r="C44" s="176"/>
      <c r="D44" s="128"/>
      <c r="E44" s="68"/>
      <c r="F44" s="130"/>
      <c r="G44" s="130"/>
      <c r="H44" s="130"/>
      <c r="I44" s="130"/>
      <c r="J44" s="130"/>
      <c r="K44" s="176"/>
      <c r="L44" s="176"/>
      <c r="M44" s="68"/>
      <c r="N44" s="68"/>
      <c r="O44" s="68"/>
    </row>
    <row r="45">
      <c r="A45" s="68"/>
      <c r="B45" s="117"/>
      <c r="C45" s="176"/>
      <c r="D45" s="128"/>
      <c r="E45" s="187" t="s">
        <v>374</v>
      </c>
      <c r="F45" s="193">
        <f t="shared" ref="F45:J45" si="16">(F40+F35)*(F42-F43)</f>
        <v>722890.3968</v>
      </c>
      <c r="G45" s="193">
        <f t="shared" si="16"/>
        <v>972416.016</v>
      </c>
      <c r="H45" s="193">
        <f t="shared" si="16"/>
        <v>393553.2744</v>
      </c>
      <c r="I45" s="193">
        <f t="shared" si="16"/>
        <v>567548.4672</v>
      </c>
      <c r="J45" s="193">
        <f t="shared" si="16"/>
        <v>134548.128</v>
      </c>
      <c r="K45" s="176"/>
      <c r="L45" s="176"/>
      <c r="M45" s="68"/>
      <c r="N45" s="68"/>
      <c r="O45" s="68"/>
    </row>
    <row r="46">
      <c r="A46" s="68"/>
      <c r="B46" s="117"/>
      <c r="C46" s="176"/>
      <c r="D46" s="128"/>
      <c r="E46" s="68"/>
      <c r="F46" s="96">
        <f t="shared" ref="F46:J46" si="17">F45/1000000</f>
        <v>0.7228903968</v>
      </c>
      <c r="G46" s="96">
        <f t="shared" si="17"/>
        <v>0.972416016</v>
      </c>
      <c r="H46" s="96">
        <f t="shared" si="17"/>
        <v>0.3935532744</v>
      </c>
      <c r="I46" s="96">
        <f t="shared" si="17"/>
        <v>0.5675484672</v>
      </c>
      <c r="J46" s="96">
        <f t="shared" si="17"/>
        <v>0.134548128</v>
      </c>
      <c r="K46" s="176"/>
      <c r="L46" s="176"/>
      <c r="M46" s="68"/>
      <c r="N46" s="68"/>
      <c r="O46" s="68"/>
    </row>
    <row r="47">
      <c r="A47" s="68"/>
      <c r="B47" s="117"/>
      <c r="C47" s="176"/>
      <c r="D47" s="128"/>
      <c r="E47" s="187" t="s">
        <v>375</v>
      </c>
      <c r="F47" s="269">
        <f t="shared" ref="F47:J47" si="18">F45+F37</f>
        <v>5912872.733</v>
      </c>
      <c r="G47" s="269">
        <f t="shared" si="18"/>
        <v>10135566.94</v>
      </c>
      <c r="H47" s="269">
        <f t="shared" si="18"/>
        <v>4088451.866</v>
      </c>
      <c r="I47" s="269">
        <f t="shared" si="18"/>
        <v>5915601.331</v>
      </c>
      <c r="J47" s="269">
        <f t="shared" si="18"/>
        <v>1293732</v>
      </c>
      <c r="K47" s="215">
        <f>SUM(F47:J47)</f>
        <v>27346224.87</v>
      </c>
      <c r="L47" s="176"/>
      <c r="M47" s="68"/>
      <c r="N47" s="68"/>
      <c r="O47" s="68"/>
    </row>
    <row r="48">
      <c r="A48" s="68"/>
      <c r="B48" s="117"/>
      <c r="C48" s="176"/>
      <c r="D48" s="128"/>
      <c r="K48" s="176"/>
      <c r="L48" s="176"/>
      <c r="M48" s="68"/>
      <c r="N48" s="68"/>
      <c r="O48" s="68"/>
    </row>
    <row r="49">
      <c r="A49" s="68"/>
      <c r="B49" s="117"/>
      <c r="C49" s="176"/>
      <c r="D49" s="128"/>
      <c r="K49" s="176"/>
      <c r="L49" s="176"/>
      <c r="M49" s="68"/>
      <c r="N49" s="68"/>
      <c r="O49" s="68"/>
    </row>
    <row r="50">
      <c r="A50" s="68"/>
      <c r="B50" s="117"/>
      <c r="C50" s="176"/>
      <c r="D50" s="128"/>
      <c r="K50" s="176"/>
      <c r="L50" s="176"/>
      <c r="M50" s="68"/>
      <c r="N50" s="68"/>
      <c r="O50" s="68"/>
    </row>
    <row r="51">
      <c r="A51" s="68"/>
      <c r="B51" s="117"/>
      <c r="C51" s="176"/>
      <c r="D51" s="128"/>
      <c r="K51" s="176"/>
      <c r="L51" s="176"/>
      <c r="M51" s="68"/>
      <c r="N51" s="68"/>
      <c r="O51" s="68"/>
    </row>
    <row r="52">
      <c r="A52" s="68"/>
      <c r="B52" s="117"/>
      <c r="C52" s="176"/>
      <c r="D52" s="128"/>
      <c r="E52" s="68"/>
      <c r="F52" s="175"/>
      <c r="G52" s="175"/>
      <c r="H52" s="175"/>
      <c r="I52" s="175"/>
      <c r="J52" s="175"/>
      <c r="K52" s="176"/>
      <c r="L52" s="176"/>
      <c r="M52" s="68"/>
      <c r="N52" s="68"/>
      <c r="O52" s="68"/>
    </row>
    <row r="53">
      <c r="A53" s="68"/>
      <c r="B53" s="117"/>
      <c r="C53" s="176"/>
      <c r="D53" s="128"/>
      <c r="E53" s="68"/>
      <c r="F53" s="175"/>
      <c r="G53" s="175"/>
      <c r="H53" s="175"/>
      <c r="I53" s="175"/>
      <c r="J53" s="175"/>
      <c r="K53" s="176"/>
      <c r="L53" s="176"/>
      <c r="M53" s="68"/>
      <c r="N53" s="68"/>
      <c r="O53" s="68"/>
    </row>
    <row r="54">
      <c r="A54" s="68"/>
      <c r="B54" s="117"/>
      <c r="C54" s="176"/>
      <c r="D54" s="128"/>
      <c r="E54" s="216"/>
      <c r="F54" s="217"/>
      <c r="G54" s="217"/>
      <c r="H54" s="217"/>
      <c r="I54" s="217"/>
      <c r="J54" s="217"/>
      <c r="K54" s="176"/>
      <c r="L54" s="176"/>
      <c r="M54" s="68"/>
      <c r="N54" s="68"/>
      <c r="O54" s="68"/>
    </row>
    <row r="55">
      <c r="A55" s="68"/>
      <c r="B55" s="117"/>
      <c r="C55" s="176"/>
      <c r="D55" s="128"/>
      <c r="E55" s="216"/>
      <c r="F55" s="217"/>
      <c r="G55" s="217"/>
      <c r="H55" s="217"/>
      <c r="I55" s="217"/>
      <c r="J55" s="217"/>
      <c r="K55" s="176"/>
      <c r="L55" s="176"/>
      <c r="M55" s="68"/>
      <c r="N55" s="68"/>
      <c r="O55" s="68"/>
    </row>
    <row r="56">
      <c r="A56" s="68"/>
      <c r="B56" s="117"/>
      <c r="C56" s="176"/>
      <c r="D56" s="128"/>
      <c r="E56" s="216"/>
      <c r="F56" s="217"/>
      <c r="G56" s="217"/>
      <c r="H56" s="217"/>
      <c r="I56" s="217"/>
      <c r="J56" s="217"/>
      <c r="K56" s="176"/>
      <c r="L56" s="176"/>
      <c r="M56" s="68"/>
      <c r="N56" s="68"/>
      <c r="O56" s="68"/>
    </row>
    <row r="57">
      <c r="A57" s="68"/>
      <c r="B57" s="117"/>
      <c r="C57" s="176"/>
      <c r="D57" s="128"/>
      <c r="E57" s="216"/>
      <c r="F57" s="217"/>
      <c r="G57" s="217"/>
      <c r="H57" s="217"/>
      <c r="I57" s="217"/>
      <c r="J57" s="217"/>
      <c r="K57" s="176"/>
      <c r="L57" s="176"/>
      <c r="M57" s="68"/>
      <c r="N57" s="68"/>
      <c r="O57" s="68"/>
    </row>
    <row r="58">
      <c r="A58" s="68"/>
      <c r="B58" s="117"/>
      <c r="C58" s="176"/>
      <c r="D58" s="128"/>
      <c r="E58" s="216"/>
      <c r="F58" s="217"/>
      <c r="G58" s="217"/>
      <c r="H58" s="217"/>
      <c r="I58" s="217"/>
      <c r="J58" s="217"/>
      <c r="K58" s="176"/>
      <c r="L58" s="176"/>
      <c r="M58" s="68"/>
      <c r="N58" s="68"/>
      <c r="O58" s="68"/>
    </row>
    <row r="59">
      <c r="A59" s="68"/>
      <c r="B59" s="117"/>
      <c r="C59" s="176"/>
      <c r="D59" s="128"/>
      <c r="E59" s="216"/>
      <c r="F59" s="217"/>
      <c r="G59" s="217"/>
      <c r="H59" s="217"/>
      <c r="I59" s="217"/>
      <c r="J59" s="217"/>
      <c r="K59" s="176"/>
      <c r="L59" s="176"/>
      <c r="M59" s="68"/>
      <c r="N59" s="68"/>
      <c r="O59" s="68"/>
    </row>
    <row r="60">
      <c r="A60" s="68"/>
      <c r="B60" s="117"/>
      <c r="C60" s="176"/>
      <c r="D60" s="128"/>
      <c r="E60" s="216"/>
      <c r="F60" s="217"/>
      <c r="G60" s="217"/>
      <c r="H60" s="217"/>
      <c r="I60" s="217"/>
      <c r="J60" s="217"/>
      <c r="K60" s="176"/>
      <c r="L60" s="176"/>
      <c r="M60" s="68"/>
      <c r="N60" s="68"/>
      <c r="O60" s="68"/>
    </row>
    <row r="61">
      <c r="A61" s="68"/>
      <c r="B61" s="117"/>
      <c r="C61" s="176"/>
      <c r="D61" s="128"/>
      <c r="E61" s="216"/>
      <c r="F61" s="217"/>
      <c r="G61" s="217"/>
      <c r="H61" s="217"/>
      <c r="I61" s="217"/>
      <c r="J61" s="217"/>
      <c r="K61" s="176"/>
      <c r="L61" s="176"/>
      <c r="M61" s="68"/>
      <c r="N61" s="68"/>
      <c r="O61" s="68"/>
    </row>
    <row r="62">
      <c r="A62" s="68"/>
      <c r="B62" s="117"/>
      <c r="C62" s="176"/>
      <c r="D62" s="128"/>
      <c r="E62" s="216"/>
      <c r="F62" s="217"/>
      <c r="G62" s="217"/>
      <c r="H62" s="217"/>
      <c r="I62" s="217"/>
      <c r="J62" s="217"/>
      <c r="K62" s="176"/>
      <c r="L62" s="176"/>
      <c r="M62" s="68"/>
      <c r="N62" s="68"/>
      <c r="O62" s="68"/>
    </row>
    <row r="63">
      <c r="A63" s="68"/>
      <c r="B63" s="117"/>
      <c r="C63" s="176"/>
      <c r="D63" s="128"/>
      <c r="E63" s="216"/>
      <c r="F63" s="217"/>
      <c r="G63" s="217"/>
      <c r="H63" s="217"/>
      <c r="I63" s="217"/>
      <c r="J63" s="217"/>
      <c r="K63" s="176"/>
      <c r="L63" s="176"/>
      <c r="M63" s="68"/>
      <c r="N63" s="68"/>
      <c r="O63" s="68"/>
    </row>
    <row r="64">
      <c r="A64" s="68"/>
      <c r="B64" s="117"/>
      <c r="C64" s="176"/>
      <c r="D64" s="128"/>
      <c r="E64" s="216"/>
      <c r="F64" s="217"/>
      <c r="G64" s="217"/>
      <c r="H64" s="217"/>
      <c r="I64" s="217"/>
      <c r="J64" s="217"/>
      <c r="K64" s="176"/>
      <c r="L64" s="176"/>
      <c r="M64" s="68"/>
      <c r="N64" s="68"/>
      <c r="O64" s="68"/>
    </row>
    <row r="65">
      <c r="A65" s="68"/>
      <c r="B65" s="117"/>
      <c r="C65" s="176"/>
      <c r="D65" s="128"/>
      <c r="E65" s="216"/>
      <c r="F65" s="217"/>
      <c r="G65" s="217"/>
      <c r="H65" s="217"/>
      <c r="I65" s="217"/>
      <c r="J65" s="217"/>
      <c r="K65" s="176"/>
      <c r="L65" s="176"/>
      <c r="M65" s="68"/>
      <c r="N65" s="68"/>
      <c r="O65" s="68"/>
    </row>
    <row r="66">
      <c r="A66" s="68"/>
      <c r="B66" s="117"/>
      <c r="C66" s="176"/>
      <c r="D66" s="128"/>
      <c r="E66" s="216"/>
      <c r="F66" s="217"/>
      <c r="G66" s="217"/>
      <c r="H66" s="217"/>
      <c r="I66" s="217"/>
      <c r="J66" s="217"/>
      <c r="K66" s="176"/>
      <c r="L66" s="176"/>
      <c r="M66" s="68"/>
      <c r="N66" s="68"/>
      <c r="O66" s="68"/>
    </row>
    <row r="67">
      <c r="A67" s="68"/>
      <c r="B67" s="117"/>
      <c r="C67" s="176"/>
      <c r="D67" s="128"/>
      <c r="E67" s="216"/>
      <c r="F67" s="217"/>
      <c r="G67" s="217"/>
      <c r="H67" s="217"/>
      <c r="I67" s="217"/>
      <c r="J67" s="217"/>
      <c r="K67" s="176"/>
      <c r="L67" s="176"/>
      <c r="M67" s="68"/>
      <c r="N67" s="68"/>
      <c r="O67" s="68"/>
    </row>
    <row r="68">
      <c r="A68" s="68"/>
      <c r="B68" s="117"/>
      <c r="C68" s="176"/>
      <c r="D68" s="128"/>
      <c r="E68" s="216"/>
      <c r="F68" s="217"/>
      <c r="G68" s="217"/>
      <c r="H68" s="217"/>
      <c r="I68" s="217"/>
      <c r="J68" s="217"/>
      <c r="K68" s="176"/>
      <c r="L68" s="176"/>
      <c r="M68" s="68"/>
      <c r="N68" s="68"/>
      <c r="O68" s="68"/>
    </row>
    <row r="69">
      <c r="A69" s="68"/>
      <c r="B69" s="117"/>
      <c r="C69" s="176"/>
      <c r="D69" s="128"/>
      <c r="E69" s="216"/>
      <c r="F69" s="217"/>
      <c r="G69" s="217"/>
      <c r="H69" s="217"/>
      <c r="I69" s="217"/>
      <c r="J69" s="217"/>
      <c r="K69" s="176"/>
      <c r="L69" s="176"/>
      <c r="M69" s="68"/>
      <c r="N69" s="68"/>
      <c r="O69" s="68"/>
    </row>
    <row r="70">
      <c r="A70" s="68"/>
      <c r="B70" s="117"/>
      <c r="C70" s="176"/>
      <c r="D70" s="128"/>
      <c r="E70" s="216"/>
      <c r="F70" s="217"/>
      <c r="G70" s="217"/>
      <c r="H70" s="217"/>
      <c r="I70" s="217"/>
      <c r="J70" s="217"/>
      <c r="K70" s="176"/>
      <c r="L70" s="176"/>
      <c r="M70" s="68"/>
      <c r="N70" s="68"/>
      <c r="O70" s="68"/>
    </row>
    <row r="71">
      <c r="A71" s="68"/>
      <c r="B71" s="117"/>
      <c r="C71" s="176"/>
      <c r="D71" s="128"/>
      <c r="E71" s="216"/>
      <c r="F71" s="217"/>
      <c r="G71" s="217"/>
      <c r="H71" s="217"/>
      <c r="I71" s="217"/>
      <c r="J71" s="217"/>
      <c r="K71" s="176"/>
      <c r="L71" s="176"/>
      <c r="M71" s="68"/>
      <c r="N71" s="68"/>
      <c r="O71" s="68"/>
    </row>
    <row r="72">
      <c r="A72" s="68"/>
      <c r="B72" s="117"/>
      <c r="C72" s="176"/>
      <c r="D72" s="128"/>
      <c r="E72" s="216"/>
      <c r="F72" s="217"/>
      <c r="G72" s="217"/>
      <c r="H72" s="217"/>
      <c r="I72" s="217"/>
      <c r="J72" s="217"/>
      <c r="K72" s="176"/>
      <c r="L72" s="176"/>
      <c r="M72" s="68"/>
      <c r="N72" s="68"/>
      <c r="O72" s="68"/>
    </row>
    <row r="73">
      <c r="A73" s="68"/>
      <c r="B73" s="117"/>
      <c r="C73" s="176"/>
      <c r="D73" s="128"/>
      <c r="E73" s="216"/>
      <c r="F73" s="217"/>
      <c r="G73" s="217"/>
      <c r="H73" s="217"/>
      <c r="I73" s="217"/>
      <c r="J73" s="217"/>
      <c r="K73" s="176"/>
      <c r="L73" s="176"/>
      <c r="M73" s="68"/>
      <c r="N73" s="68"/>
      <c r="O73" s="68"/>
    </row>
    <row r="74">
      <c r="A74" s="68"/>
      <c r="B74" s="117"/>
      <c r="C74" s="176"/>
      <c r="D74" s="128"/>
      <c r="E74" s="216"/>
      <c r="F74" s="217"/>
      <c r="G74" s="217"/>
      <c r="H74" s="217"/>
      <c r="I74" s="217"/>
      <c r="J74" s="217"/>
      <c r="K74" s="176"/>
      <c r="L74" s="176"/>
      <c r="M74" s="68"/>
      <c r="N74" s="68"/>
      <c r="O74" s="68"/>
    </row>
    <row r="75">
      <c r="A75" s="68"/>
      <c r="B75" s="117"/>
      <c r="C75" s="176"/>
      <c r="D75" s="128"/>
      <c r="E75" s="216"/>
      <c r="F75" s="217"/>
      <c r="G75" s="217"/>
      <c r="H75" s="217"/>
      <c r="I75" s="217"/>
      <c r="J75" s="217"/>
      <c r="K75" s="176"/>
      <c r="L75" s="176"/>
      <c r="M75" s="68"/>
      <c r="N75" s="68"/>
      <c r="O75" s="68"/>
    </row>
    <row r="76">
      <c r="A76" s="68"/>
      <c r="B76" s="117"/>
      <c r="C76" s="176"/>
      <c r="D76" s="128"/>
      <c r="E76" s="216"/>
      <c r="F76" s="217"/>
      <c r="G76" s="217"/>
      <c r="H76" s="217"/>
      <c r="I76" s="217"/>
      <c r="J76" s="217"/>
      <c r="K76" s="176"/>
      <c r="L76" s="176"/>
      <c r="M76" s="68"/>
      <c r="N76" s="68"/>
      <c r="O76" s="68"/>
    </row>
    <row r="77">
      <c r="A77" s="68"/>
      <c r="B77" s="117"/>
      <c r="C77" s="176"/>
      <c r="D77" s="128"/>
      <c r="E77" s="216"/>
      <c r="F77" s="217"/>
      <c r="G77" s="217"/>
      <c r="H77" s="217"/>
      <c r="I77" s="217"/>
      <c r="J77" s="217"/>
      <c r="K77" s="176"/>
      <c r="L77" s="176"/>
      <c r="M77" s="68"/>
      <c r="N77" s="68"/>
      <c r="O77" s="68"/>
    </row>
    <row r="78">
      <c r="A78" s="68"/>
      <c r="B78" s="117"/>
      <c r="C78" s="176"/>
      <c r="D78" s="128"/>
      <c r="E78" s="216"/>
      <c r="F78" s="217"/>
      <c r="G78" s="217"/>
      <c r="H78" s="217"/>
      <c r="I78" s="217"/>
      <c r="J78" s="217"/>
      <c r="K78" s="176"/>
      <c r="L78" s="176"/>
      <c r="M78" s="68"/>
      <c r="N78" s="68"/>
      <c r="O78" s="68"/>
    </row>
    <row r="79">
      <c r="A79" s="68"/>
      <c r="B79" s="117"/>
      <c r="C79" s="176"/>
      <c r="D79" s="128"/>
      <c r="E79" s="216"/>
      <c r="F79" s="217"/>
      <c r="G79" s="217"/>
      <c r="H79" s="217"/>
      <c r="I79" s="217"/>
      <c r="J79" s="217"/>
      <c r="K79" s="176"/>
      <c r="L79" s="176"/>
      <c r="M79" s="68"/>
      <c r="N79" s="68"/>
      <c r="O79" s="68"/>
    </row>
    <row r="80">
      <c r="A80" s="68"/>
      <c r="B80" s="117"/>
      <c r="C80" s="176"/>
      <c r="D80" s="128"/>
      <c r="E80" s="216"/>
      <c r="F80" s="217"/>
      <c r="G80" s="217"/>
      <c r="H80" s="217"/>
      <c r="I80" s="217"/>
      <c r="J80" s="217"/>
      <c r="K80" s="176"/>
      <c r="L80" s="176"/>
      <c r="M80" s="68"/>
      <c r="N80" s="68"/>
      <c r="O80" s="68"/>
    </row>
    <row r="81">
      <c r="A81" s="68"/>
      <c r="B81" s="117"/>
      <c r="C81" s="176"/>
      <c r="D81" s="128"/>
      <c r="E81" s="216"/>
      <c r="F81" s="217"/>
      <c r="G81" s="217"/>
      <c r="H81" s="217"/>
      <c r="I81" s="217"/>
      <c r="J81" s="217"/>
      <c r="K81" s="176"/>
      <c r="L81" s="176"/>
      <c r="M81" s="68"/>
      <c r="N81" s="68"/>
      <c r="O81" s="68"/>
    </row>
    <row r="82">
      <c r="A82" s="68"/>
      <c r="B82" s="117"/>
      <c r="C82" s="176"/>
      <c r="D82" s="128"/>
      <c r="E82" s="216"/>
      <c r="F82" s="217"/>
      <c r="G82" s="217"/>
      <c r="H82" s="217"/>
      <c r="I82" s="217"/>
      <c r="J82" s="217"/>
      <c r="K82" s="176"/>
      <c r="L82" s="176"/>
      <c r="M82" s="68"/>
      <c r="N82" s="68"/>
      <c r="O82" s="68"/>
    </row>
    <row r="83">
      <c r="A83" s="68"/>
      <c r="B83" s="117"/>
      <c r="C83" s="176"/>
      <c r="D83" s="128"/>
      <c r="E83" s="216"/>
      <c r="F83" s="217"/>
      <c r="G83" s="217"/>
      <c r="H83" s="217"/>
      <c r="I83" s="217"/>
      <c r="J83" s="217"/>
      <c r="K83" s="176"/>
      <c r="L83" s="176"/>
      <c r="M83" s="68"/>
      <c r="N83" s="68"/>
      <c r="O83" s="68"/>
    </row>
    <row r="84">
      <c r="A84" s="68"/>
      <c r="B84" s="117"/>
      <c r="C84" s="176"/>
      <c r="D84" s="128"/>
      <c r="E84" s="216"/>
      <c r="F84" s="217"/>
      <c r="G84" s="217"/>
      <c r="H84" s="217"/>
      <c r="I84" s="217"/>
      <c r="J84" s="217"/>
      <c r="K84" s="176"/>
      <c r="L84" s="176"/>
      <c r="M84" s="68"/>
      <c r="N84" s="68"/>
      <c r="O84" s="68"/>
    </row>
    <row r="85">
      <c r="A85" s="68"/>
      <c r="B85" s="117"/>
      <c r="C85" s="176"/>
      <c r="D85" s="128"/>
      <c r="E85" s="216"/>
      <c r="F85" s="217"/>
      <c r="G85" s="217"/>
      <c r="H85" s="217"/>
      <c r="I85" s="217"/>
      <c r="J85" s="217"/>
      <c r="K85" s="176"/>
      <c r="L85" s="176"/>
      <c r="M85" s="68"/>
      <c r="N85" s="68"/>
      <c r="O85" s="68"/>
    </row>
    <row r="86">
      <c r="A86" s="68"/>
      <c r="B86" s="117"/>
      <c r="C86" s="176"/>
      <c r="D86" s="128"/>
      <c r="E86" s="216"/>
      <c r="F86" s="217"/>
      <c r="G86" s="217"/>
      <c r="H86" s="217"/>
      <c r="I86" s="217"/>
      <c r="J86" s="217"/>
      <c r="K86" s="176"/>
      <c r="L86" s="176"/>
      <c r="M86" s="68"/>
      <c r="N86" s="68"/>
      <c r="O86" s="68"/>
    </row>
    <row r="87">
      <c r="A87" s="68"/>
      <c r="B87" s="117"/>
      <c r="C87" s="176"/>
      <c r="D87" s="128"/>
      <c r="E87" s="216"/>
      <c r="F87" s="217"/>
      <c r="G87" s="217"/>
      <c r="H87" s="217"/>
      <c r="I87" s="217"/>
      <c r="J87" s="217"/>
      <c r="K87" s="176"/>
      <c r="L87" s="176"/>
      <c r="M87" s="68"/>
      <c r="N87" s="68"/>
      <c r="O87" s="68"/>
    </row>
    <row r="88">
      <c r="A88" s="68"/>
      <c r="B88" s="117"/>
      <c r="C88" s="176"/>
      <c r="D88" s="128"/>
      <c r="E88" s="216"/>
      <c r="F88" s="217"/>
      <c r="G88" s="217"/>
      <c r="H88" s="217"/>
      <c r="I88" s="217"/>
      <c r="J88" s="217"/>
      <c r="K88" s="176"/>
      <c r="L88" s="176"/>
      <c r="M88" s="68"/>
      <c r="N88" s="68"/>
      <c r="O88" s="68"/>
    </row>
    <row r="89">
      <c r="A89" s="68"/>
      <c r="B89" s="117"/>
      <c r="C89" s="176"/>
      <c r="D89" s="128"/>
      <c r="E89" s="216"/>
      <c r="F89" s="217"/>
      <c r="G89" s="217"/>
      <c r="H89" s="217"/>
      <c r="I89" s="217"/>
      <c r="J89" s="217"/>
      <c r="K89" s="176"/>
      <c r="L89" s="176"/>
      <c r="M89" s="68"/>
      <c r="N89" s="68"/>
      <c r="O89" s="68"/>
    </row>
  </sheetData>
  <mergeCells count="1">
    <mergeCell ref="F2:J2"/>
  </mergeCells>
  <dataValidations>
    <dataValidation type="list" allowBlank="1" showErrorMessage="1" sqref="C4">
      <formula1>"LATAM,BR,US,EU,APAC,Middle East"</formula1>
    </dataValidation>
    <dataValidation type="list" allowBlank="1" showErrorMessage="1" sqref="C5">
      <formula1>'Aceptance Rate Delta per Indust'!$B$4:$B$40</formula1>
    </dataValidation>
  </dataValidations>
  <drawing r:id="rId1"/>
</worksheet>
</file>