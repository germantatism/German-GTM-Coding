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LatAm" sheetId="2" state="visible" r:id="rId2"/>
    <sheet xmlns:r="http://schemas.openxmlformats.org/officeDocument/2006/relationships" name="Current Payment Methods" sheetId="3" state="visible" r:id="rId3"/>
    <sheet xmlns:r="http://schemas.openxmlformats.org/officeDocument/2006/relationships" name="BC Devs.Eng Lat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0.0000&quot;,000,000&quot;"/>
    <numFmt numFmtId="165" formatCode="&quot;$&quot;#,##0"/>
    <numFmt numFmtId="166" formatCode="&quot;$&quot;0.00"/>
    <numFmt numFmtId="167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</font>
    <font>
      <b val="1"/>
      <sz val="12"/>
    </font>
    <font>
      <b val="1"/>
      <i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A3B8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top" wrapText="1"/>
    </xf>
    <xf numFmtId="164" fontId="2" fillId="2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2" fontId="0" fillId="2" borderId="0" pivotButton="0" quotePrefix="0" xfId="0"/>
    <xf numFmtId="10" fontId="0" fillId="2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wrapText="1"/>
    </xf>
    <xf numFmtId="0" fontId="5" fillId="0" borderId="0" pivotButton="0" quotePrefix="0" xfId="0"/>
    <xf numFmtId="165" fontId="0" fillId="5" borderId="0" pivotButton="0" quotePrefix="0" xfId="0"/>
    <xf numFmtId="165" fontId="0" fillId="2" borderId="0" pivotButton="0" quotePrefix="0" xfId="0"/>
    <xf numFmtId="166" fontId="0" fillId="5" borderId="0" pivotButton="0" quotePrefix="0" xfId="0"/>
    <xf numFmtId="166" fontId="0" fillId="2" borderId="0" pivotButton="0" quotePrefix="0" xfId="0"/>
    <xf numFmtId="3" fontId="0" fillId="5" borderId="0" pivotButton="0" quotePrefix="0" xfId="0"/>
    <xf numFmtId="3" fontId="0" fillId="2" borderId="0" pivotButton="0" quotePrefix="0" xfId="0"/>
    <xf numFmtId="167" fontId="0" fillId="5" borderId="0" pivotButton="0" quotePrefix="0" xfId="0"/>
    <xf numFmtId="167" fontId="0" fillId="2" borderId="0" pivotButton="0" quotePrefix="0" xfId="0"/>
    <xf numFmtId="165" fontId="2" fillId="2" borderId="0" pivotButton="0" quotePrefix="0" xfId="0"/>
    <xf numFmtId="0" fontId="6" fillId="4" borderId="0" pivotButton="0" quotePrefix="0" xfId="0"/>
    <xf numFmtId="9" fontId="0" fillId="5" borderId="0" pivotButton="0" quotePrefix="0" xfId="0"/>
    <xf numFmtId="165" fontId="7" fillId="2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2" customWidth="1" min="4" max="4"/>
    <col width="2" customWidth="1" min="5" max="5"/>
    <col width="2" customWidth="1" min="6" max="6"/>
    <col width="14" customWidth="1" min="7" max="7"/>
    <col width="70" customWidth="1" min="8" max="8"/>
  </cols>
  <sheetData>
    <row r="2">
      <c r="B2" s="1" t="inlineStr">
        <is>
          <t>Business Case — Yango + Yuno</t>
        </is>
      </c>
    </row>
    <row r="3">
      <c r="B3" s="2" t="inlineStr">
        <is>
          <t>Company</t>
        </is>
      </c>
      <c r="C3" t="inlineStr">
        <is>
          <t>Yango</t>
        </is>
      </c>
    </row>
    <row r="4">
      <c r="B4" s="2" t="inlineStr">
        <is>
          <t>Industry</t>
        </is>
      </c>
      <c r="C4" t="inlineStr">
        <is>
          <t>Ride-hailing / mobility (driver recharge collection)</t>
        </is>
      </c>
    </row>
    <row r="5">
      <c r="B5" s="2" t="inlineStr">
        <is>
          <t>Scope</t>
        </is>
      </c>
      <c r="C5" t="inlineStr">
        <is>
          <t>Colombia, Peru, Bolivia, Venezuela — driver top-up/recharge collection only. Payouts run through Cobre Fast Pay in Colombia and are unchanged.</t>
        </is>
      </c>
    </row>
    <row r="7" ht="60" customHeight="1">
      <c r="B7" s="2" t="inlineStr">
        <is>
          <t>Card Acceptance Uplift — Conservative</t>
        </is>
      </c>
      <c r="C7" s="3" t="n">
        <v>1.9822</v>
      </c>
      <c r="G7" s="2" t="inlineStr">
        <is>
          <t>PROBLEM 1</t>
        </is>
      </c>
      <c r="H7" s="4" t="inlineStr">
        <is>
          <t>Card binding failure: verification charges are routed through acquirers with no local presence in the driver's country, so the issuing bank flags them as cross-border and blocks them. Only 68-70% of binding attempts succeed today; once a card is bound, steady-state approval jumps to 90-92%. Source: Yango discovery call, Aug 19, 2026.</t>
        </is>
      </c>
    </row>
    <row r="8" ht="60" customHeight="1">
      <c r="B8" s="2" t="inlineStr">
        <is>
          <t>Card Acceptance Uplift — Optimistic</t>
        </is>
      </c>
      <c r="C8" s="3" t="n">
        <v>2.6684</v>
      </c>
      <c r="G8" s="2" t="inlineStr">
        <is>
          <t>PROBLEM 2</t>
        </is>
      </c>
      <c r="H8" s="4" t="inlineStr">
        <is>
          <t>No smart routing or live vendor comparison: one rail per country today, no fallback. Neither Unlimit nor Inswitch publishes approval-rate data for these four markets, so underperformance has no reference point.</t>
        </is>
      </c>
    </row>
    <row r="9" ht="60" customHeight="1">
      <c r="B9" s="2" t="inlineStr">
        <is>
          <t>Card Acceptance Uplift — Average (confirmed)</t>
        </is>
      </c>
      <c r="C9" s="5" t="n">
        <v>2.3253</v>
      </c>
      <c r="G9" s="2" t="inlineStr">
        <is>
          <t>PROBLEM 3</t>
        </is>
      </c>
      <c r="H9" s="4" t="inlineStr">
        <is>
          <t>Fragmented processor stack: PayU + Unlimit for cards, Inswitch for recharge pay-ins. No vendor covers all four countries — Unlimit confirms Colombia and Peru only, Inswitch confirms Colombia, Peru and Bolivia, none confirm Venezuela.</t>
        </is>
      </c>
    </row>
    <row r="10" ht="60" customHeight="1">
      <c r="G10" s="2" t="inlineStr">
        <is>
          <t>PROBLEM 4</t>
        </is>
      </c>
      <c r="H10" s="4" t="inlineStr">
        <is>
          <t>Missing dominant local rail in three of four markets: PSE (63.9% of Colombia's digital transactions) and Bre-B (34.9M users in 6 months) in Colombia, QR Simple (94% of interbank transfers) in Bolivia, Pago Móvil (~7,000 tx/minute, 20M+ affiliated customers) in Venezuela — none connected to the recharge flow today.</t>
        </is>
      </c>
    </row>
    <row r="11" ht="60" customHeight="1">
      <c r="B11" s="2" t="inlineStr">
        <is>
          <t>New Local Rail Growth — Low (illustrative, NOT validated)</t>
        </is>
      </c>
      <c r="C11" s="6" t="n">
        <v>5.7196</v>
      </c>
      <c r="G11" s="2" t="inlineStr">
        <is>
          <t>PROBLEM 5</t>
        </is>
      </c>
      <c r="H11" s="4" t="inlineStr">
        <is>
          <t>Fixed-fee drag at low ticket size: Inswitch charges 2.4% plus a $150 COP fixed fee per transaction, which disproportionately hurts Yango's $1.50-$3.50 average recharge ticket. This is why Yango has asked for variable-only pricing.</t>
        </is>
      </c>
    </row>
    <row r="12">
      <c r="B12" s="2" t="inlineStr">
        <is>
          <t>New Local Rail Growth — High (illustrative, NOT validated)</t>
        </is>
      </c>
      <c r="C12" s="6" t="n">
        <v>8.795</v>
      </c>
    </row>
    <row r="14">
      <c r="B14" s="2" t="inlineStr">
        <is>
          <t>Engineering Cost Avoided (one-time, standard benchmark)</t>
        </is>
      </c>
      <c r="C14" s="3" t="n">
        <v>0.324</v>
      </c>
    </row>
    <row r="16">
      <c r="B16" s="2" t="inlineStr">
        <is>
          <t>Total Benefit (confirmed, card acceptance only)</t>
        </is>
      </c>
      <c r="C16" s="5">
        <f>C9</f>
        <v/>
      </c>
      <c r="D16" s="7" t="inlineStr">
        <is>
          <t>Do NOT add the illustrative rows above into this total. Keep them separate everywhere this number is used.</t>
        </is>
      </c>
    </row>
    <row r="18">
      <c r="B18" s="2" t="inlineStr">
        <is>
          <t>Sdr Name</t>
        </is>
      </c>
      <c r="C18" t="inlineStr">
        <is>
          <t>Germán Tatis</t>
        </is>
      </c>
    </row>
    <row r="19">
      <c r="B19" s="2" t="inlineStr">
        <is>
          <t>CORREO</t>
        </is>
      </c>
      <c r="C19" t="inlineStr">
        <is>
          <t>german.tatis@y.uno</t>
        </is>
      </c>
    </row>
    <row r="21">
      <c r="B21" s="8" t="inlineStr">
        <is>
          <t>Key Inputs</t>
        </is>
      </c>
      <c r="C21" s="9" t="n"/>
    </row>
    <row r="22">
      <c r="B22" s="2" t="inlineStr">
        <is>
          <t>Data source</t>
        </is>
      </c>
      <c r="C22" s="10" t="inlineStr">
        <is>
          <t>Real recharge data shared by Javier Patiño's team (Yango), August 2026 — monthly Cashless GMV, avg recharge ticket, transactions, approval rate per country</t>
        </is>
      </c>
    </row>
    <row r="23">
      <c r="B23" s="2" t="inlineStr">
        <is>
          <t>Total Cashless Recharge GMV (annual, $M)</t>
        </is>
      </c>
      <c r="C23" s="11" t="n">
        <v>87.66030000000001</v>
      </c>
    </row>
    <row r="24">
      <c r="B24" s="2" t="inlineStr">
        <is>
          <t>Blended card approval rate today</t>
        </is>
      </c>
      <c r="C24" s="12" t="n">
        <v>0.9146</v>
      </c>
    </row>
    <row r="25">
      <c r="B25" s="2" t="inlineStr">
        <is>
          <t>Blended avg recharge ticket (USD)</t>
        </is>
      </c>
      <c r="C25" s="11" t="n">
        <v>2.25</v>
      </c>
    </row>
    <row r="26">
      <c r="B26" s="2" t="inlineStr">
        <is>
          <t>Current processors</t>
        </is>
      </c>
      <c r="C26" s="10" t="inlineStr">
        <is>
          <t>PayU + Unlimit (cards), Inswitch (recharge pay-ins)</t>
        </is>
      </c>
    </row>
    <row r="27">
      <c r="B27" s="2" t="inlineStr">
        <is>
          <t>Local entity in target markets?</t>
        </is>
      </c>
      <c r="C27" s="10" t="inlineStr">
        <is>
          <t>Not confirmed; card-binding root cause (acquirers with no local presence) implies no local entity today</t>
        </is>
      </c>
    </row>
    <row r="28">
      <c r="B28" s="2" t="inlineStr">
        <is>
          <t>Payout rail (unchanged)</t>
        </is>
      </c>
      <c r="C28" s="10" t="inlineStr">
        <is>
          <t>Cobre Fast Pay — Colombia confirmed (120,000+ drivers); Peru, Bolivia, Venezuela not confirmed</t>
        </is>
      </c>
    </row>
    <row r="30">
      <c r="B30" s="2" t="inlineStr">
        <is>
          <t>Legend</t>
        </is>
      </c>
      <c r="C30" s="10" t="inlineStr">
        <is>
          <t>Red = Research</t>
        </is>
      </c>
      <c r="D30" s="13" t="inlineStr">
        <is>
          <t>Yellow = Given by Javier (SDR)</t>
        </is>
      </c>
      <c r="E30" s="14" t="inlineStr">
        <is>
          <t>Green = Formula</t>
        </is>
      </c>
      <c r="G30" s="15" t="inlineStr">
        <is>
          <t>Note: illustrative-only figures (New Local Rail Growth) are flagged in red/italic wherever they appear and are never summed into the confirmed Total Benefit.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6" t="inlineStr">
        <is>
          <t>Recharge Collection — Colombia, Peru, Bolivia, Venezuela — Yango</t>
        </is>
      </c>
    </row>
    <row r="3">
      <c r="B3" s="8" t="inlineStr">
        <is>
          <t>Aspect/Country</t>
        </is>
      </c>
      <c r="C3" s="8" t="inlineStr">
        <is>
          <t>Colombia</t>
        </is>
      </c>
      <c r="D3" s="8" t="inlineStr">
        <is>
          <t>Peru</t>
        </is>
      </c>
      <c r="E3" s="8" t="inlineStr">
        <is>
          <t>Bolivia</t>
        </is>
      </c>
      <c r="F3" s="8" t="inlineStr">
        <is>
          <t>Venezuela</t>
        </is>
      </c>
      <c r="G3" s="8" t="inlineStr">
        <is>
          <t>Total</t>
        </is>
      </c>
    </row>
    <row r="4">
      <c r="B4" s="2" t="inlineStr">
        <is>
          <t>Cashless recharge GMV / month (USD)</t>
        </is>
      </c>
      <c r="C4" s="17" t="n">
        <v>1929598</v>
      </c>
      <c r="D4" s="17" t="n">
        <v>1796096</v>
      </c>
      <c r="E4" s="17" t="n">
        <v>2747371</v>
      </c>
      <c r="F4" s="17" t="n">
        <v>831960</v>
      </c>
      <c r="G4" s="18">
        <f>SUM(C4:F4)</f>
        <v/>
      </c>
    </row>
    <row r="5">
      <c r="B5" s="2" t="inlineStr">
        <is>
          <t>Cashless recharge GMV / year (USD)</t>
        </is>
      </c>
      <c r="C5" s="18">
        <f>C4*12</f>
        <v/>
      </c>
      <c r="D5" s="18">
        <f>D4*12</f>
        <v/>
      </c>
      <c r="E5" s="18">
        <f>E4*12</f>
        <v/>
      </c>
      <c r="F5" s="18">
        <f>F4*12</f>
        <v/>
      </c>
      <c r="G5" s="18">
        <f>SUM(C5:F5)</f>
        <v/>
      </c>
    </row>
    <row r="6">
      <c r="B6" s="2" t="inlineStr">
        <is>
          <t>Avg recharge ticket (USD)</t>
        </is>
      </c>
      <c r="C6" s="19" t="n">
        <v>3.5</v>
      </c>
      <c r="D6" s="19" t="n">
        <v>3.2</v>
      </c>
      <c r="E6" s="19" t="n">
        <v>1.5</v>
      </c>
      <c r="F6" s="19" t="n">
        <v>2.8</v>
      </c>
      <c r="G6" s="20">
        <f>G5/G8</f>
        <v/>
      </c>
    </row>
    <row r="7">
      <c r="B7" s="2" t="inlineStr">
        <is>
          <t>Transactions / month</t>
        </is>
      </c>
      <c r="C7" s="21" t="n">
        <v>551314</v>
      </c>
      <c r="D7" s="21" t="n">
        <v>561280</v>
      </c>
      <c r="E7" s="21" t="n">
        <v>1831581</v>
      </c>
      <c r="F7" s="21" t="n">
        <v>297129</v>
      </c>
      <c r="G7" s="22">
        <f>SUM(C7:F7)</f>
        <v/>
      </c>
    </row>
    <row r="8">
      <c r="B8" s="2" t="inlineStr">
        <is>
          <t>Transactions / year</t>
        </is>
      </c>
      <c r="C8" s="22">
        <f>C7*12</f>
        <v/>
      </c>
      <c r="D8" s="22">
        <f>D7*12</f>
        <v/>
      </c>
      <c r="E8" s="22">
        <f>E7*12</f>
        <v/>
      </c>
      <c r="F8" s="22">
        <f>F7*12</f>
        <v/>
      </c>
      <c r="G8" s="22">
        <f>SUM(C8:F8)</f>
        <v/>
      </c>
    </row>
    <row r="9">
      <c r="B9" s="2" t="inlineStr">
        <is>
          <t>Card approval rate today</t>
        </is>
      </c>
      <c r="C9" s="23" t="n">
        <v>0.926</v>
      </c>
      <c r="D9" s="23" t="n">
        <v>0.931</v>
      </c>
      <c r="E9" s="23" t="n">
        <v>0.913</v>
      </c>
      <c r="F9" s="23" t="n">
        <v>0.858</v>
      </c>
      <c r="G9" s="24">
        <f>SUMPRODUCT(C5:F5,C9:F9)/G5</f>
        <v/>
      </c>
    </row>
    <row r="10">
      <c r="B10" s="2" t="inlineStr">
        <is>
          <t>APM live today</t>
        </is>
      </c>
      <c r="C10" s="10" t="inlineStr">
        <is>
          <t>Nequi 80.5%</t>
        </is>
      </c>
      <c r="D10" s="10" t="inlineStr">
        <is>
          <t>Yape 85.7%</t>
        </is>
      </c>
      <c r="E10" s="10" t="inlineStr">
        <is>
          <t>None</t>
        </is>
      </c>
      <c r="F10" s="10" t="inlineStr">
        <is>
          <t>None</t>
        </is>
      </c>
    </row>
    <row r="12">
      <c r="B12" s="8" t="inlineStr">
        <is>
          <t>CARD ACCEPTANCE UPLIFT — confirmed, from Yango's real data</t>
        </is>
      </c>
      <c r="C12" s="8" t="n"/>
      <c r="D12" s="8" t="n"/>
      <c r="E12" s="8" t="n"/>
      <c r="F12" s="8" t="n"/>
      <c r="G12" s="8" t="n"/>
    </row>
    <row r="13">
      <c r="B13" s="2" t="inlineStr">
        <is>
          <t>Uplift applied — conservative (pp)</t>
        </is>
      </c>
      <c r="C13" s="23" t="n">
        <v>0.018</v>
      </c>
      <c r="D13" s="23" t="n">
        <v>0.018</v>
      </c>
      <c r="E13" s="23" t="n">
        <v>0.018</v>
      </c>
      <c r="F13" s="23" t="n">
        <v>0.04</v>
      </c>
    </row>
    <row r="14">
      <c r="B14" s="2" t="inlineStr">
        <is>
          <t>Uplift applied — optimistic (pp)</t>
        </is>
      </c>
      <c r="C14" s="23" t="n">
        <v>0.022</v>
      </c>
      <c r="D14" s="23" t="n">
        <v>0.022</v>
      </c>
      <c r="E14" s="23" t="n">
        <v>0.022</v>
      </c>
      <c r="F14" s="23" t="n">
        <v>0.07000000000000001</v>
      </c>
    </row>
    <row r="15">
      <c r="B15" s="2" t="inlineStr">
        <is>
          <t>New approval rate — conservative</t>
        </is>
      </c>
      <c r="C15" s="24">
        <f>C9+C13</f>
        <v/>
      </c>
      <c r="D15" s="24">
        <f>D9+D13</f>
        <v/>
      </c>
      <c r="E15" s="24">
        <f>E9+E13</f>
        <v/>
      </c>
      <c r="F15" s="24">
        <f>F9+F13</f>
        <v/>
      </c>
    </row>
    <row r="16">
      <c r="B16" s="2" t="inlineStr">
        <is>
          <t>New approval rate — optimistic</t>
        </is>
      </c>
      <c r="C16" s="24">
        <f>C9+C14</f>
        <v/>
      </c>
      <c r="D16" s="24">
        <f>D9+D14</f>
        <v/>
      </c>
      <c r="E16" s="24">
        <f>E9+E14</f>
        <v/>
      </c>
      <c r="F16" s="24">
        <f>F9+F14</f>
        <v/>
      </c>
    </row>
    <row r="17">
      <c r="B17" s="2" t="inlineStr">
        <is>
          <t>Incremental GMV — conservative (USD/yr)</t>
        </is>
      </c>
      <c r="C17" s="18">
        <f>C5*C13/C9</f>
        <v/>
      </c>
      <c r="D17" s="18">
        <f>D5*D13/D9</f>
        <v/>
      </c>
      <c r="E17" s="18">
        <f>E5*E13/E9</f>
        <v/>
      </c>
      <c r="F17" s="18">
        <f>F5*F13/F9</f>
        <v/>
      </c>
      <c r="G17" s="18">
        <f>SUM(C17:F17)</f>
        <v/>
      </c>
    </row>
    <row r="18">
      <c r="B18" s="2" t="inlineStr">
        <is>
          <t>Incremental GMV — optimistic (USD/yr)</t>
        </is>
      </c>
      <c r="C18" s="18">
        <f>C5*C14/C9</f>
        <v/>
      </c>
      <c r="D18" s="18">
        <f>D5*D14/D9</f>
        <v/>
      </c>
      <c r="E18" s="18">
        <f>E5*E14/E9</f>
        <v/>
      </c>
      <c r="F18" s="18">
        <f>F5*F14/F9</f>
        <v/>
      </c>
      <c r="G18" s="18">
        <f>SUM(C18:F18)</f>
        <v/>
      </c>
    </row>
    <row r="19">
      <c r="B19" s="2" t="inlineStr">
        <is>
          <t>Incremental GMV — average (USD/yr)</t>
        </is>
      </c>
      <c r="C19" s="25">
        <f>AVERAGE(C17:C18)</f>
        <v/>
      </c>
      <c r="D19" s="25">
        <f>AVERAGE(D17:D18)</f>
        <v/>
      </c>
      <c r="E19" s="25">
        <f>AVERAGE(E17:E18)</f>
        <v/>
      </c>
      <c r="F19" s="25">
        <f>AVERAGE(F17:F18)</f>
        <v/>
      </c>
      <c r="G19" s="25">
        <f>SUM(C19:F19)</f>
        <v/>
      </c>
    </row>
    <row r="20">
      <c r="B20" s="2" t="inlineStr">
        <is>
          <t>Incremental transactions — conservative</t>
        </is>
      </c>
      <c r="C20" s="22">
        <f>C8*C13/C9</f>
        <v/>
      </c>
      <c r="D20" s="22">
        <f>D8*D13/D9</f>
        <v/>
      </c>
      <c r="E20" s="22">
        <f>E8*E13/E9</f>
        <v/>
      </c>
      <c r="F20" s="22">
        <f>F8*F13/F9</f>
        <v/>
      </c>
      <c r="G20" s="22">
        <f>SUM(C20:F20)</f>
        <v/>
      </c>
    </row>
    <row r="21">
      <c r="B21" s="2" t="inlineStr">
        <is>
          <t>Incremental transactions — optimistic</t>
        </is>
      </c>
      <c r="C21" s="22">
        <f>C8*C14/C9</f>
        <v/>
      </c>
      <c r="D21" s="22">
        <f>D8*D14/D9</f>
        <v/>
      </c>
      <c r="E21" s="22">
        <f>E8*E14/E9</f>
        <v/>
      </c>
      <c r="F21" s="22">
        <f>F8*F14/F9</f>
        <v/>
      </c>
      <c r="G21" s="22">
        <f>SUM(C21:F21)</f>
        <v/>
      </c>
    </row>
    <row r="23">
      <c r="B23" s="26" t="inlineStr">
        <is>
          <t>NEW LOCAL RAIL GROWTH — illustrative Yuno benchmark, NOT validated with Yango data</t>
        </is>
      </c>
      <c r="C23" s="26" t="n"/>
      <c r="D23" s="26" t="n"/>
      <c r="E23" s="26" t="n"/>
      <c r="F23" s="26" t="n"/>
      <c r="G23" s="26" t="n"/>
    </row>
    <row r="24">
      <c r="B24" s="2" t="inlineStr">
        <is>
          <t>Missing dominant local rail</t>
        </is>
      </c>
      <c r="C24" s="10" t="inlineStr">
        <is>
          <t>PSE + Bre-B</t>
        </is>
      </c>
      <c r="D24" s="10" t="inlineStr">
        <is>
          <t>Plin</t>
        </is>
      </c>
      <c r="E24" s="10" t="inlineStr">
        <is>
          <t>QR Simple</t>
        </is>
      </c>
      <c r="F24" s="10" t="inlineStr">
        <is>
          <t>Pago Móvil</t>
        </is>
      </c>
    </row>
    <row r="25">
      <c r="B25" s="2" t="inlineStr">
        <is>
          <t>Benchmark incremental-transaction %, low</t>
        </is>
      </c>
      <c r="C25" s="27" t="n">
        <v>0.08</v>
      </c>
      <c r="D25" s="27" t="n">
        <v>0.02</v>
      </c>
      <c r="E25" s="27" t="n">
        <v>0.08</v>
      </c>
      <c r="F25" s="27" t="n">
        <v>0.08</v>
      </c>
    </row>
    <row r="26">
      <c r="B26" s="2" t="inlineStr">
        <is>
          <t>Benchmark incremental-transaction %, high</t>
        </is>
      </c>
      <c r="C26" s="27" t="n">
        <v>0.12</v>
      </c>
      <c r="D26" s="27" t="n">
        <v>0.04</v>
      </c>
      <c r="E26" s="27" t="n">
        <v>0.12</v>
      </c>
      <c r="F26" s="27" t="n">
        <v>0.12</v>
      </c>
    </row>
    <row r="27">
      <c r="B27" s="2" t="inlineStr">
        <is>
          <t>Illustrative incremental GMV, low (USD/yr)</t>
        </is>
      </c>
      <c r="C27" s="28">
        <f>C5*C25</f>
        <v/>
      </c>
      <c r="D27" s="28">
        <f>D5*D25</f>
        <v/>
      </c>
      <c r="E27" s="28">
        <f>E5*E25</f>
        <v/>
      </c>
      <c r="F27" s="28">
        <f>F5*F25</f>
        <v/>
      </c>
      <c r="G27" s="28">
        <f>SUM(C27:F27)</f>
        <v/>
      </c>
    </row>
    <row r="28">
      <c r="B28" s="2" t="inlineStr">
        <is>
          <t>Illustrative incremental GMV, high (USD/yr)</t>
        </is>
      </c>
      <c r="C28" s="28">
        <f>C5*C26</f>
        <v/>
      </c>
      <c r="D28" s="28">
        <f>D5*D26</f>
        <v/>
      </c>
      <c r="E28" s="28">
        <f>E5*E26</f>
        <v/>
      </c>
      <c r="F28" s="28">
        <f>F5*F26</f>
        <v/>
      </c>
      <c r="G28" s="28">
        <f>SUM(C28:F28)</f>
        <v/>
      </c>
    </row>
    <row r="30" ht="30" customHeight="1">
      <c r="B30" s="15" t="inlineStr">
        <is>
          <t>Note: Peru's benchmark is lower (2-4%) because Yape already covers most of the overlap with Plin; the other three markets use the standard 8-12% 'crucial missing rail' benchmark.</t>
        </is>
      </c>
    </row>
  </sheetData>
  <mergeCells count="1">
    <mergeCell ref="B30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4" customWidth="1" min="3" max="3"/>
    <col width="40" customWidth="1" min="4" max="4"/>
    <col width="14" customWidth="1" min="5" max="5"/>
  </cols>
  <sheetData>
    <row r="2">
      <c r="B2" s="16" t="inlineStr">
        <is>
          <t>Current Payment Methods vs Missing Local Rails — Yango</t>
        </is>
      </c>
    </row>
    <row r="4">
      <c r="B4" s="8" t="inlineStr">
        <is>
          <t>Country</t>
        </is>
      </c>
      <c r="C4" s="8" t="inlineStr">
        <is>
          <t>Live today (recharge flow)</t>
        </is>
      </c>
      <c r="D4" s="8" t="inlineStr">
        <is>
          <t>Not connected (dominant local rail missing)</t>
        </is>
      </c>
      <c r="E4" s="8" t="inlineStr">
        <is>
          <t>Confidence</t>
        </is>
      </c>
    </row>
    <row r="5" ht="45" customHeight="1">
      <c r="B5" s="2" t="inlineStr">
        <is>
          <t>Colombia</t>
        </is>
      </c>
      <c r="C5" s="4" t="inlineStr">
        <is>
          <t>Cards (92.6% approval), Nequi (80.5% approval)</t>
        </is>
      </c>
      <c r="D5" s="4" t="inlineStr">
        <is>
          <t>PSE — 63.9% of Colombia's digital-payment transactions, 487M tx in H1 2026. Bre-B — 34.9M registered users within 6 months of its Oct 2025 launch.</t>
        </is>
      </c>
      <c r="E5" t="inlineStr">
        <is>
          <t>High</t>
        </is>
      </c>
    </row>
    <row r="6" ht="45" customHeight="1">
      <c r="B6" s="2" t="inlineStr">
        <is>
          <t>Peru</t>
        </is>
      </c>
      <c r="C6" s="4" t="inlineStr">
        <is>
          <t>Cards (93.1% approval), Yape (85.7% approval)</t>
        </is>
      </c>
      <c r="D6" s="4" t="inlineStr">
        <is>
          <t>Plin — 2.6M MAU, interoperable with Yape since 2023, transactions growing 33% YoY.</t>
        </is>
      </c>
      <c r="E6" t="inlineStr">
        <is>
          <t>High</t>
        </is>
      </c>
    </row>
    <row r="7" ht="45" customHeight="1">
      <c r="B7" s="2" t="inlineStr">
        <is>
          <t>Bolivia</t>
        </is>
      </c>
      <c r="C7" s="4" t="inlineStr">
        <is>
          <t>Cards only (91.3% approval)</t>
        </is>
      </c>
      <c r="D7" s="4" t="inlineStr">
        <is>
          <t>QR Simple — 94% of all interbank electronic transfers, US$51.3B moved in 2025.</t>
        </is>
      </c>
      <c r="E7" t="inlineStr">
        <is>
          <t>High</t>
        </is>
      </c>
    </row>
    <row r="8" ht="45" customHeight="1">
      <c r="B8" s="2" t="inlineStr">
        <is>
          <t>Venezuela</t>
        </is>
      </c>
      <c r="C8" s="4" t="inlineStr">
        <is>
          <t>Cards only (85.8% approval)</t>
        </is>
      </c>
      <c r="D8" s="4" t="inlineStr">
        <is>
          <t>Pago Móvil — ~7,000 transactions/minute nationally, 20M+ affiliated customers, 86%+ banking penetration.</t>
        </is>
      </c>
      <c r="E8" t="inlineStr">
        <is>
          <t>High</t>
        </is>
      </c>
    </row>
    <row r="10" ht="40" customHeight="1">
      <c r="B10" s="2" t="inlineStr">
        <is>
          <t>NOTE</t>
        </is>
      </c>
      <c r="C10" s="29" t="inlineStr">
        <is>
          <t>Approval rates and live methods: Yango's own recharge data, shared by Javier Patiño's team, August 2026. Local-rail adoption stats: public reporting and central-bank data, compiled August 18, 2026 (see appendix-4-country-deepdives-2026-08-18.md).</t>
        </is>
      </c>
    </row>
  </sheetData>
  <mergeCells count="1"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2">
      <c r="B2" s="16" t="inlineStr">
        <is>
          <t>Dev/Engineering Cost Avoided — LatAm — Yango</t>
        </is>
      </c>
    </row>
    <row r="4">
      <c r="B4" s="2" t="inlineStr">
        <is>
          <t>Countries</t>
        </is>
      </c>
      <c r="C4" t="inlineStr">
        <is>
          <t>Colombia, Peru, Bolivia, Venezuela</t>
        </is>
      </c>
    </row>
    <row r="5">
      <c r="B5" s="2" t="inlineStr">
        <is>
          <t>APMs to Integrate (total)</t>
        </is>
      </c>
      <c r="C5" s="13" t="n">
        <v>5</v>
      </c>
      <c r="D5" t="inlineStr">
        <is>
          <t>x3 mo</t>
        </is>
      </c>
      <c r="E5" t="inlineStr">
        <is>
          <t>PSE + Bre-B (CO), Plin (PE), QR Simple (BO), Pago Móvil (VE)</t>
        </is>
      </c>
    </row>
    <row r="6">
      <c r="B6" s="2" t="inlineStr">
        <is>
          <t>MoR/Local Processors to Integrate (total)</t>
        </is>
      </c>
      <c r="C6" s="13" t="n">
        <v>0</v>
      </c>
      <c r="D6" t="inlineStr">
        <is>
          <t>n/a</t>
        </is>
      </c>
      <c r="E6" t="inlineStr">
        <is>
          <t>Yango already operates processors in all four markets; this is a consolidation, not a new-market entry</t>
        </is>
      </c>
    </row>
    <row r="8">
      <c r="B8" s="8" t="inlineStr">
        <is>
          <t>Department</t>
        </is>
      </c>
      <c r="C8" s="8" t="inlineStr">
        <is>
          <t>APMs ($)</t>
        </is>
      </c>
      <c r="D8" s="8" t="inlineStr">
        <is>
          <t>Cards/PSP ($)</t>
        </is>
      </c>
      <c r="E8" s="8" t="inlineStr">
        <is>
          <t>Total ($)</t>
        </is>
      </c>
    </row>
    <row r="9">
      <c r="B9" t="inlineStr">
        <is>
          <t>Product</t>
        </is>
      </c>
      <c r="C9" s="30" t="n">
        <v>33750</v>
      </c>
      <c r="D9" s="30" t="n">
        <v>0</v>
      </c>
      <c r="E9" s="30">
        <f>C9+D9</f>
        <v/>
      </c>
    </row>
    <row r="10">
      <c r="B10" t="inlineStr">
        <is>
          <t>Engineering</t>
        </is>
      </c>
      <c r="C10" s="30" t="n">
        <v>157500</v>
      </c>
      <c r="D10" s="30" t="n">
        <v>0</v>
      </c>
      <c r="E10" s="30">
        <f>C10+D10</f>
        <v/>
      </c>
    </row>
    <row r="11">
      <c r="B11" t="inlineStr">
        <is>
          <t>Fraud/Risk</t>
        </is>
      </c>
      <c r="C11" s="30" t="n">
        <v>33750</v>
      </c>
      <c r="D11" s="30" t="n">
        <v>0</v>
      </c>
      <c r="E11" s="30">
        <f>C11+D11</f>
        <v/>
      </c>
    </row>
    <row r="12">
      <c r="B12" t="inlineStr">
        <is>
          <t>Treasury</t>
        </is>
      </c>
      <c r="C12" s="30" t="n">
        <v>20250</v>
      </c>
      <c r="D12" s="30" t="n">
        <v>0</v>
      </c>
      <c r="E12" s="30">
        <f>C12+D12</f>
        <v/>
      </c>
    </row>
    <row r="13">
      <c r="B13" t="inlineStr">
        <is>
          <t>Compliance</t>
        </is>
      </c>
      <c r="C13" s="30" t="n">
        <v>22500</v>
      </c>
      <c r="D13" s="30" t="n">
        <v>0</v>
      </c>
      <c r="E13" s="30">
        <f>C13+D13</f>
        <v/>
      </c>
    </row>
    <row r="14">
      <c r="B14" t="inlineStr">
        <is>
          <t>Finance</t>
        </is>
      </c>
      <c r="C14" s="30" t="n">
        <v>16875</v>
      </c>
      <c r="D14" s="30" t="n">
        <v>0</v>
      </c>
      <c r="E14" s="30">
        <f>C14+D14</f>
        <v/>
      </c>
    </row>
    <row r="15">
      <c r="B15" t="inlineStr">
        <is>
          <t>Banking &amp; Payments</t>
        </is>
      </c>
      <c r="C15" s="30" t="n">
        <v>39375</v>
      </c>
      <c r="D15" s="30" t="n">
        <v>0</v>
      </c>
      <c r="E15" s="30">
        <f>C15+D15</f>
        <v/>
      </c>
    </row>
    <row r="16">
      <c r="B16" s="2" t="inlineStr">
        <is>
          <t>Total Dev/Eng Savings</t>
        </is>
      </c>
      <c r="C16" s="31">
        <f>SUM(C9:C15)</f>
        <v/>
      </c>
      <c r="D16" s="31">
        <f>SUM(D9:D15)</f>
        <v/>
      </c>
      <c r="E16" s="31">
        <f>SUM(E9:E15)</f>
        <v/>
      </c>
    </row>
    <row r="17">
      <c r="B17" s="2" t="inlineStr">
        <is>
          <t>Integration time</t>
        </is>
      </c>
      <c r="C17" t="inlineStr">
        <is>
          <t>15 mo multi-vendor</t>
        </is>
      </c>
      <c r="D17" t="inlineStr">
        <is>
          <t>Yuno 2 mo</t>
        </is>
      </c>
      <c r="E17" t="inlineStr">
        <is>
          <t>saves 13 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2026-09-01T01:02:49Z</dcterms:created>
  <dcterms:modified xmlns:dcterms="http://purl.org/dc/terms/" xmlns:xsi="http://www.w3.org/2001/XMLSchema-instance" xsi:type="dcterms:W3CDTF">2026-09-01T01:02:49Z</dcterms:modified>
</cp:coreProperties>
</file>