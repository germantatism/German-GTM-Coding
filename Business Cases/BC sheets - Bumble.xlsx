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<sst xmlns="http://schemas.openxmlformats.org/spreadsheetml/2006/main" count="1293" uniqueCount="447">
  <si>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</si>
  <si>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</si>
  <si>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</si>
  <si>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</si>
  <si>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</si>
  <si>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</si>
  <si>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</si>
  <si>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</si>
  <si>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</si>
  <si>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</si>
  <si>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</si>
  <si>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</si>
  <si>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</si>
  <si>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</si>
  <si>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</si>
  <si>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</si>
  <si>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</si>
  <si>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</si>
  <si>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</si>
  <si>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</si>
  <si>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</si>
  <si>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</si>
  <si>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</si>
  <si>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</si>
  <si>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</si>
  <si>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</si>
  <si>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</si>
  <si>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</si>
  <si>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</si>
  <si>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</si>
  <si>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</si>
  <si>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</si>
  <si>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</si>
  <si>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</si>
  <si>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</si>
  <si>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</si>
  <si>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</si>
  <si>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</si>
  <si>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</si>
  <si>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</si>
  <si>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</si>
  <si>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</si>
  <si>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</si>
  <si>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</si>
  <si>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</si>
  <si>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</si>
  <si>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</si>
  <si>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</si>
  <si>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</si>
  <si>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</si>
  <si>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</si>
  <si>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</si>
  <si>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</si>
  <si>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</si>
  <si>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</si>
  <si>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</si>
  <si>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</si>
  <si>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</si>
  <si>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</si>
  <si>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</si>
  <si>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</si>
  <si>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</si>
  <si>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</si>
  <si>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</si>
  <si>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</si>
  <si>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</si>
  <si>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</si>
  <si>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</si>
  <si>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</si>
  <si>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</si>
  <si>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</si>
  <si>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</si>
  <si>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</si>
  <si>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</si>
  <si>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</si>
  <si>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</si>
  <si>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</si>
  <si>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</si>
  <si>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</si>
  <si>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</si>
  <si>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</si>
  <si>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</si>
  <si>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</si>
  <si>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</si>
  <si>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</si>
  <si>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</si>
  <si>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</si>
  <si>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</si>
  <si>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</si>
  <si>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</si>
  <si>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</si>
  <si>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</si>
  <si>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</si>
  <si>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</si>
  <si>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</si>
  <si>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</si>
  <si>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</si>
  <si>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</si>
  <si>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</si>
  <si>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</si>
  <si>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</si>
  <si>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</si>
  <si>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</si>
  <si>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</si>
  <si>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</si>
  <si>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</si>
  <si>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</si>
  <si>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</si>
  <si>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</si>
  <si>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</si>
  <si>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</si>
  <si>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</si>
  <si>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</si>
  <si>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</si>
  <si>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</si>
  <si>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</si>
  <si>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</si>
  <si>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</si>
  <si>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</si>
  <si>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</si>
  <si>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</si>
  <si>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</si>
  <si>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</si>
  <si>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</si>
  <si>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</si>
  <si>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</si>
  <si>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</si>
  <si>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</si>
  <si>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</si>
  <si>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</si>
  <si>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</si>
  <si>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</si>
  <si>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</si>
  <si>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</si>
  <si>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</si>
  <si>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</si>
  <si>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</si>
  <si>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</si>
  <si>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</si>
  <si>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</si>
  <si>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</si>
  <si>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</si>
  <si>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</si>
  <si>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</si>
  <si>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</si>
  <si>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</si>
  <si>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</si>
  <si>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</si>
  <si>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</si>
  <si>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</si>
  <si>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</si>
  <si>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</si>
  <si>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</si>
  <si>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</si>
  <si>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</si>
  <si>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</si>
  <si>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</si>
  <si>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</si>
  <si>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</si>
  <si>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</si>
  <si>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</si>
  <si>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</si>
  <si>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</si>
  <si>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</si>
  <si>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</si>
  <si>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</si>
  <si>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</si>
  <si>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</si>
  <si>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</si>
  <si>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</si>
  <si>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</si>
  <si>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</si>
  <si>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</si>
  <si>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</si>
  <si>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</si>
  <si>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</si>
  <si>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</si>
  <si>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</si>
  <si>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</si>
  <si>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</si>
  <si>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</si>
  <si>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</si>
  <si>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</si>
  <si>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</si>
  <si>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</si>
  <si>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</si>
  <si>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</si>
  <si>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</si>
  <si>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</si>
  <si>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</si>
  <si>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</si>
  <si>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</si>
  <si>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</si>
  <si>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</si>
  <si>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</si>
  <si>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</si>
  <si>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</si>
  <si>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</si>
  <si>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</si>
  <si>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</si>
  <si>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</si>
  <si>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</si>
  <si>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</si>
  <si>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</si>
  <si>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</si>
  <si>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</si>
  <si>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</si>
  <si>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</si>
  <si>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</si>
  <si>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</si>
  <si>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</si>
  <si>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</si>
  <si>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</si>
  <si>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</si>
  <si>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</si>
  <si>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</si>
  <si>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</si>
  <si>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</si>
  <si>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</si>
  <si>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</si>
  <si>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</si>
  <si>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</si>
  <si>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</si>
  <si>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</si>
  <si>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</si>
  <si>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</si>
  <si>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</si>
  <si>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</si>
  <si>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</si>
  <si>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</si>
  <si>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</si>
  <si>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</si>
  <si>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</si>
  <si>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</si>
  <si>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</si>
  <si>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</si>
  <si>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</si>
  <si>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</si>
  <si>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</si>
  <si>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</si>
  <si>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</si>
  <si>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</si>
  <si>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</si>
  <si>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</si>
  <si>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</si>
  <si>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</si>
  <si>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</si>
  <si>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</si>
  <si>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</si>
  <si>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</si>
  <si>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</si>
  <si>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</si>
  <si>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</si>
  <si>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</si>
  <si>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</si>
  <si>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</si>
  <si>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</si>
  <si>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</si>
  <si>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</si>
  <si>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</si>
  <si>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</si>
  <si>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</si>
  <si>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1TRy3fAUDaErkQpDapQym9qGf4fMsS0IU4Xd9sa9BRHQ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</si>
  <si>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</si>
  <si>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</si>
  <si>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16Olp5AT392u3bWuFRpx4iEvjqmIN1MVTXt_iwJZhJN0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</si>
  <si>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</si>
  <si>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</si>
  <si>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Bumble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</si>
  <si>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</si>
  <si>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</si>
  <si>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</si>
  <si>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</si>
  <si>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</si>
  <si>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</si>
  <si>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</si>
  <si>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</si>
  <si>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</si>
  <si>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</si>
  <si>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</si>
  <si>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</si>
  <si>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</si>
  <si>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</si>
  <si>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</si>
  <si>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</si>
  <si>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</si>
  <si>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</si>
  <si>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</si>
  <si>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</si>
  <si>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</si>
  <si>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</si>
  <si>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</si>
  <si>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</si>
  <si>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</si>
  <si>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</si>
  <si>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</si>
  <si>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</si>
  <si>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</si>
  <si>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</si>
  <si>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</si>
  <si>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</si>
  <si>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</si>
  <si>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</si>
  <si>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</si>
  <si>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</si>
  <si>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</si>
  <si>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</si>
  <si>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</si>
  <si>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</si>
  <si>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</si>
  <si>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</si>
  <si>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</si>
  <si>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Mexico</t>
  </si>
  <si>
    <t>Brazil</t>
  </si>
  <si>
    <t>Argentina</t>
  </si>
  <si>
    <t>Colombia</t>
  </si>
  <si>
    <t>Peru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</si>
  <si>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</si>
  <si>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</si>
  <si>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</si>
  <si>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</si>
  <si>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</si>
  <si>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</si>
  <si>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</si>
  <si>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</si>
  <si>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</si>
  <si>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</si>
  <si>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</si>
  <si>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</si>
  <si>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</si>
  <si>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</si>
  <si>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</si>
  <si>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</si>
  <si>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</si>
  <si>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</si>
  <si>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</si>
  <si>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</si>
  <si>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</si>
  <si>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</si>
  <si>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</si>
  <si>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</si>
  <si>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</si>
  <si>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</si>
  <si>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</si>
  <si>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</si>
  <si>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</si>
  <si>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</si>
  <si>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</si>
  <si>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</si>
  <si>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</si>
  <si>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</si>
  <si>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</si>
  <si>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</si>
  <si>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</si>
  <si>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OXXO, SPEI, Apple Pay, Google Pay, PayPal</t>
  </si>
  <si>
    <t>PIX, NuPay, Boleto, Elo, PicPay</t>
  </si>
  <si>
    <t>Mercado Pago, MODO, Rapipago</t>
  </si>
  <si>
    <t>PSE, Nequi, Efecty, Daviplata</t>
  </si>
  <si>
    <t>Yape, PagoEfectivo, PLIN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</si>
  <si>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</si>
  <si>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</si>
  <si>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</si>
  <si>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</si>
  <si>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</si>
  <si>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</si>
  <si>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</si>
  <si>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</si>
  <si>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</si>
  <si>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</si>
  <si>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</si>
  <si>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</si>
  <si>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</si>
  <si>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</si>
  <si>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</si>
  <si>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</si>
  <si>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</si>
  <si>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</si>
  <si>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</si>
  <si>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</si>
  <si>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</si>
  <si>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</si>
  <si>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</si>
  <si>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</si>
  <si>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</si>
  <si>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</si>
  <si>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</si>
  <si>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</si>
  <si>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</si>
  <si>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</si>
  <si>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</si>
  <si>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</si>
  <si>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</si>
  <si>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</si>
  <si>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</si>
  <si>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</si>
  <si>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</si>
  <si>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</si>
  <si>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</si>
  <si>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</si>
  <si>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</si>
  <si>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</si>
  <si>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</si>
  <si>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</si>
  <si>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</si>
  <si>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</si>
  <si>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</si>
  <si>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</si>
  <si>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</si>
  <si>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</si>
  <si>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</si>
  <si>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</si>
  <si>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</si>
  <si>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</si>
  <si>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Yes</t>
  </si>
  <si>
    <t>Apple Pay, Google Pay, Venmo, Cash App Pay</t>
  </si>
  <si>
    <t>Interac, Apple Pay, Google Pay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</si>
  <si>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</si>
  <si>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</si>
  <si>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</si>
  <si>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</si>
  <si>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Germany</t>
  </si>
  <si>
    <t>United Kingdom</t>
  </si>
  <si>
    <t>Spain</t>
  </si>
  <si>
    <t>Netherlands</t>
  </si>
  <si>
    <t>France</t>
  </si>
  <si>
    <t>SEPA Direct Debit, Klarna, Sofort, PayPal</t>
  </si>
  <si>
    <t>Open Banking, Klarna, Apple Pay</t>
  </si>
  <si>
    <t>Bizum, SEPA, Apple Pay</t>
  </si>
  <si>
    <t>iDEAL, SEPA, Bancontact</t>
  </si>
  <si>
    <t>Carte Bancaire, SEPA, Apple Pay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</si>
  <si>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</si>
  <si>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</si>
  <si>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</si>
  <si>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India</t>
  </si>
  <si>
    <t>Indonesia</t>
  </si>
  <si>
    <t>Australia</t>
  </si>
  <si>
    <t>Vietnam</t>
  </si>
  <si>
    <t>No</t>
  </si>
  <si>
    <t>UPI, Paytm, NetBanking</t>
  </si>
  <si>
    <t>GoPay, OVO, DANA, Virtual Account</t>
  </si>
  <si>
    <t>POLi, Afterpay, Apple Pay</t>
  </si>
  <si>
    <t>MoMo, ZaloPay, VNPay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</si>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</sst>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0" fillId="7" fontId="7" numFmtId="10" xfId="0" applyAlignment="1" applyFont="1" applyNumberFormat="1">
      <alignment horizontal="left" readingOrder="0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0" fillId="7" fontId="7" numFmtId="167" xfId="0" applyAlignment="1" applyFont="1" applyNumberFormat="1">
      <alignment horizontal="left" readingOrder="0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59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59"/>
      <c r="B64" s="60" t="s">
        <v>246</v>
      </c>
      <c r="C64" s="61" t="s">
        <v>247</v>
      </c>
      <c r="D64" s="62" t="s">
        <v>248</v>
      </c>
    </row>
    <row r="65">
      <c r="A65" s="59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7"/>
      <c r="B1" s="68" t="s">
        <v>261</v>
      </c>
      <c r="C1" s="69" t="s">
        <v>262</v>
      </c>
      <c r="D1" s="70" t="s">
        <v>263</v>
      </c>
      <c r="G1" s="67"/>
      <c r="H1" s="67"/>
    </row>
    <row r="2">
      <c r="A2" s="67"/>
      <c r="B2" s="71" t="s">
        <v>264</v>
      </c>
      <c r="C2" s="72" t="s">
        <v>265</v>
      </c>
      <c r="D2" s="70" t="s">
        <v>266</v>
      </c>
      <c r="G2" s="67"/>
      <c r="H2" s="67"/>
    </row>
    <row r="3">
      <c r="A3" s="67"/>
      <c r="B3" s="68" t="s">
        <v>267</v>
      </c>
      <c r="C3" s="73" t="s">
        <v>268</v>
      </c>
      <c r="D3" s="74" t="s">
        <v>269</v>
      </c>
      <c r="G3" s="67"/>
      <c r="H3" s="67"/>
    </row>
    <row r="4">
      <c r="A4" s="67"/>
      <c r="B4" s="75" t="s">
        <v>28</v>
      </c>
      <c r="C4" s="76" t="s">
        <v>59</v>
      </c>
      <c r="D4" s="74" t="s">
        <v>270</v>
      </c>
      <c r="G4" s="67"/>
      <c r="H4" s="67"/>
    </row>
    <row r="5" ht="36.75" customHeight="1">
      <c r="A5" s="67"/>
      <c r="B5" s="77" t="s">
        <v>271</v>
      </c>
      <c r="C5" s="78">
        <f>'BC Pay-ins LatAm'!H19+' BC Pay-ins NA'!H19+'BC Pay-ins APAC'!H19+'BC Pay-ins EMEA'!H19</f>
        <v>34.993347</v>
      </c>
      <c r="D5" s="79">
        <f t="shared" ref="D5:D9" si="1">ROUNDDOWN(C5-1,0)</f>
        <v>33</v>
      </c>
      <c r="E5" s="79">
        <f t="shared" ref="E5:E9" si="2">ROUNDUP(C5+2,0)</f>
        <v>37</v>
      </c>
      <c r="F5" s="74" t="s">
        <v>272</v>
      </c>
      <c r="G5" s="80" t="s">
        <v>273</v>
      </c>
      <c r="H5" s="81" t="s">
        <v>274</v>
      </c>
    </row>
    <row r="6" ht="36.75" customHeight="1" outlineLevel="1">
      <c r="A6" s="67"/>
      <c r="B6" s="82" t="s">
        <v>275</v>
      </c>
      <c r="C6" s="83">
        <f>'BC Pay-ins LatAm'!H27+'BC Pay-ins LatAm'!H47+' BC Pay-ins NA'!H27+' BC Pay-ins NA'!H47+'BC Pay-ins APAC'!H27+'BC Pay-ins APAC'!H47+'BC Pay-ins EMEA'!H27+'BC Pay-ins EMEA'!H47</f>
        <v>7.025539614</v>
      </c>
      <c r="D6" s="79">
        <f t="shared" si="1"/>
        <v>6</v>
      </c>
      <c r="E6" s="79">
        <f t="shared" si="2"/>
        <v>10</v>
      </c>
      <c r="F6" s="74" t="s">
        <v>272</v>
      </c>
      <c r="G6" s="84" t="s">
        <v>276</v>
      </c>
      <c r="H6" s="85" t="s">
        <v>277</v>
      </c>
    </row>
    <row r="7" ht="36.75" customHeight="1" outlineLevel="1">
      <c r="A7" s="67"/>
      <c r="B7" s="82" t="s">
        <v>278</v>
      </c>
      <c r="C7" s="83">
        <f>'BC Pay-ins LatAm'!H37+' BC Pay-ins NA'!H37+'BC Pay-ins APAC'!H37+'BC Pay-ins EMEA'!H37</f>
        <v>90.27132</v>
      </c>
      <c r="D7" s="79">
        <f t="shared" si="1"/>
        <v>89</v>
      </c>
      <c r="E7" s="79">
        <f t="shared" si="2"/>
        <v>93</v>
      </c>
      <c r="F7" s="74" t="s">
        <v>272</v>
      </c>
      <c r="G7" s="84" t="s">
        <v>279</v>
      </c>
      <c r="H7" s="86" t="s">
        <v>280</v>
      </c>
    </row>
    <row r="8" ht="36.75" customHeight="1">
      <c r="A8" s="67"/>
      <c r="B8" s="82" t="s">
        <v>281</v>
      </c>
      <c r="C8" s="83">
        <f>(Sheet5!H41+Sheet6!H41+Sheet7!H41+'BC Devs.Eng. Integrations Savin'!H41)</f>
        <v>5.4216</v>
      </c>
      <c r="D8" s="87">
        <f t="shared" si="1"/>
        <v>4</v>
      </c>
      <c r="E8" s="87">
        <f t="shared" si="2"/>
        <v>8</v>
      </c>
      <c r="F8" s="74" t="s">
        <v>272</v>
      </c>
      <c r="G8" s="84" t="s">
        <v>282</v>
      </c>
      <c r="H8" s="85" t="s">
        <v>283</v>
      </c>
    </row>
    <row r="9" ht="36.75" customHeight="1" outlineLevel="1">
      <c r="A9" s="67"/>
      <c r="B9" s="88" t="s">
        <v>284</v>
      </c>
      <c r="C9" s="89">
        <f>SUM(C5:C8)</f>
        <v>137.7118066</v>
      </c>
      <c r="D9" s="87">
        <f t="shared" si="1"/>
        <v>136</v>
      </c>
      <c r="E9" s="87">
        <f t="shared" si="2"/>
        <v>140</v>
      </c>
      <c r="F9" s="74" t="s">
        <v>272</v>
      </c>
      <c r="G9" s="90" t="s">
        <v>285</v>
      </c>
      <c r="H9" s="91" t="s">
        <v>286</v>
      </c>
    </row>
    <row r="10" ht="36.75" customHeight="1" outlineLevel="1">
      <c r="A10" s="67"/>
      <c r="B10" s="75" t="s">
        <v>287</v>
      </c>
      <c r="C10" s="73" t="s">
        <v>288</v>
      </c>
      <c r="D10" s="70"/>
      <c r="E10" s="70"/>
    </row>
    <row r="11" ht="36.75" customHeight="1">
      <c r="A11" s="67"/>
      <c r="B11" s="75" t="s">
        <v>289</v>
      </c>
      <c r="C11" s="73" t="s">
        <v>290</v>
      </c>
      <c r="D11" s="70" t="s">
        <v>291</v>
      </c>
      <c r="E11" s="70"/>
    </row>
    <row r="12" ht="36.75" customHeight="1">
      <c r="A12" s="67"/>
      <c r="B12" s="92" t="s">
        <v>292</v>
      </c>
      <c r="C12" s="93"/>
      <c r="D12" s="70"/>
      <c r="E12" s="70"/>
      <c r="F12" s="70"/>
    </row>
    <row r="13">
      <c r="A13" s="67"/>
      <c r="B13" s="75" t="s">
        <v>293</v>
      </c>
      <c r="C13" s="94">
        <v>6.0E8</v>
      </c>
      <c r="D13" s="74" t="s">
        <v>294</v>
      </c>
      <c r="E13" s="74"/>
      <c r="G13" s="95"/>
      <c r="H13" s="95"/>
    </row>
    <row r="14">
      <c r="A14" s="67"/>
      <c r="B14" s="75" t="s">
        <v>295</v>
      </c>
      <c r="C14" s="96">
        <v>1.0716E9</v>
      </c>
      <c r="D14" s="74" t="s">
        <v>296</v>
      </c>
      <c r="E14" s="74"/>
      <c r="G14" s="95"/>
      <c r="H14" s="95"/>
    </row>
    <row r="15">
      <c r="A15" s="67"/>
      <c r="B15" s="75" t="s">
        <v>297</v>
      </c>
      <c r="C15" s="97">
        <v>0.6</v>
      </c>
      <c r="D15" s="74" t="s">
        <v>298</v>
      </c>
      <c r="E15" s="74"/>
    </row>
    <row r="16">
      <c r="A16" s="67"/>
      <c r="B16" s="98" t="s">
        <v>299</v>
      </c>
      <c r="C16" s="99">
        <f>C14/C15</f>
        <v>1786000000</v>
      </c>
      <c r="D16" s="87">
        <f>C16/1000000</f>
        <v>1786</v>
      </c>
      <c r="E16" s="74" t="s">
        <v>272</v>
      </c>
      <c r="G16" s="95"/>
      <c r="H16" s="95"/>
    </row>
    <row r="17">
      <c r="A17" s="67"/>
      <c r="B17" s="67"/>
      <c r="C17" s="100"/>
      <c r="D17" s="101">
        <f>'BC Pay-ins LatAm'!H11+' BC Pay-ins NA'!H11+'BC Pay-ins EMEA'!H11+'BC Pay-ins APAC'!H11</f>
        <v>962.934</v>
      </c>
      <c r="E17" s="70"/>
      <c r="F17" s="70"/>
      <c r="G17" s="95"/>
      <c r="H17" s="95"/>
    </row>
    <row r="18">
      <c r="A18" s="67"/>
      <c r="B18" s="102" t="s">
        <v>14</v>
      </c>
      <c r="C18" s="103" t="s">
        <v>13</v>
      </c>
      <c r="D18" s="104">
        <f>'BC Pay-ins LatAm'!H4+' BC Pay-ins NA'!H4+'BC Pay-ins EMEA'!H4+'BC Pay-ins APAC'!H4</f>
        <v>0.728</v>
      </c>
      <c r="E18" s="70"/>
      <c r="F18" s="70"/>
      <c r="G18" s="95"/>
      <c r="H18" s="95"/>
    </row>
    <row r="19">
      <c r="A19" s="67"/>
      <c r="B19" s="105" t="s">
        <v>16</v>
      </c>
      <c r="C19" s="106" t="s">
        <v>15</v>
      </c>
      <c r="D19" s="107">
        <f>C16*D18</f>
        <v>1300208000</v>
      </c>
      <c r="E19" s="70"/>
      <c r="F19" s="70"/>
      <c r="G19" s="95"/>
      <c r="H19" s="95"/>
    </row>
    <row r="20">
      <c r="A20" s="67"/>
      <c r="B20" s="108" t="s">
        <v>18</v>
      </c>
      <c r="C20" s="109" t="s">
        <v>300</v>
      </c>
      <c r="D20" s="70"/>
      <c r="E20" s="70"/>
      <c r="F20" s="70"/>
      <c r="G20" s="95"/>
      <c r="H20" s="95"/>
    </row>
    <row r="21">
      <c r="A21" s="67"/>
      <c r="B21" s="110" t="s">
        <v>20</v>
      </c>
      <c r="C21" s="111" t="s">
        <v>301</v>
      </c>
      <c r="D21" s="70"/>
      <c r="E21" s="70"/>
      <c r="F21" s="70"/>
      <c r="G21" s="95"/>
      <c r="H21" s="95"/>
    </row>
    <row r="22">
      <c r="A22" s="67"/>
      <c r="C22" s="112">
        <f>(Sheet5!K42+Sheet6!K42+Sheet7!K42+'BC Devs.Eng. Integrations Savin'!K42)</f>
        <v>20.25</v>
      </c>
      <c r="D22" s="70"/>
      <c r="E22" s="70"/>
      <c r="F22" s="70"/>
      <c r="G22" s="67"/>
      <c r="H22" s="67"/>
    </row>
    <row r="23">
      <c r="A23" s="67"/>
      <c r="B23" s="113" t="s">
        <v>302</v>
      </c>
      <c r="C23" s="114" t="str">
        <f>CONCATENATE(ROUNDUP(C22,2)," ","years")</f>
        <v>20.25 years</v>
      </c>
      <c r="D23" s="115">
        <f>ROUNDDOWN(C24-1,0)</f>
        <v>19</v>
      </c>
      <c r="E23" s="115">
        <f>ROUNDUP(C24+1,0)</f>
        <v>22</v>
      </c>
      <c r="F23" s="74" t="s">
        <v>298</v>
      </c>
      <c r="G23" s="67"/>
      <c r="H23" s="67"/>
    </row>
    <row r="24">
      <c r="A24" s="67"/>
      <c r="B24" s="116"/>
      <c r="C24" s="117">
        <f>ROUNDUP(C22,2)</f>
        <v>20.25</v>
      </c>
      <c r="D24" s="118"/>
      <c r="E24" s="118"/>
      <c r="F24" s="118"/>
      <c r="G24" s="67"/>
      <c r="H24" s="67"/>
    </row>
    <row r="25">
      <c r="A25" s="67"/>
      <c r="B25" s="116"/>
      <c r="C25" s="119"/>
      <c r="D25" s="74"/>
      <c r="E25" s="74"/>
      <c r="F25" s="74"/>
      <c r="G25" s="67"/>
      <c r="H25" s="67"/>
    </row>
    <row r="26">
      <c r="A26" s="67"/>
      <c r="B26" s="116"/>
      <c r="C26" s="119"/>
      <c r="D26" s="118"/>
      <c r="E26" s="118"/>
      <c r="F26" s="118"/>
      <c r="G26" s="67"/>
      <c r="H26" s="67"/>
    </row>
    <row r="27">
      <c r="A27" s="67"/>
      <c r="B27" s="116"/>
      <c r="C27" s="120"/>
      <c r="D27" s="118"/>
      <c r="E27" s="118"/>
      <c r="F27" s="118"/>
      <c r="G27" s="67"/>
      <c r="H27" s="67"/>
    </row>
    <row r="28">
      <c r="A28" s="67"/>
      <c r="B28" s="116"/>
      <c r="C28" s="121"/>
      <c r="F28" s="118"/>
      <c r="G28" s="67"/>
      <c r="H28" s="67"/>
    </row>
    <row r="29">
      <c r="A29" s="67"/>
      <c r="B29" s="122" t="s">
        <v>303</v>
      </c>
      <c r="C29" s="123">
        <f>C5</f>
        <v>34.993347</v>
      </c>
      <c r="F29" s="118"/>
      <c r="G29" s="67"/>
      <c r="H29" s="67"/>
    </row>
    <row r="30">
      <c r="A30" s="67"/>
      <c r="B30" s="122" t="s">
        <v>304</v>
      </c>
      <c r="C30" s="123">
        <f>C7</f>
        <v>90.27132</v>
      </c>
      <c r="F30" s="118"/>
      <c r="G30" s="67"/>
      <c r="H30" s="67"/>
    </row>
    <row r="31">
      <c r="A31" s="67"/>
      <c r="B31" s="122" t="s">
        <v>305</v>
      </c>
      <c r="C31" s="123">
        <f>'BC Pay-ins LatAm'!D37+'BC Pay-ins LatAm'!D56+' BC Pay-ins NA'!D37+' BC Pay-ins NA'!D56+'BC Pay-ins EMEA'!D37+'BC Pay-ins EMEA'!D56+'BC Pay-ins APAC'!D37+'BC Pay-ins APAC'!D56</f>
        <v>16.04292</v>
      </c>
      <c r="F31" s="118"/>
      <c r="G31" s="67"/>
      <c r="H31" s="67"/>
    </row>
    <row r="32" outlineLevel="1">
      <c r="A32" s="67"/>
      <c r="B32" s="122" t="s">
        <v>306</v>
      </c>
      <c r="C32" s="123">
        <f>C6</f>
        <v>7.025539614</v>
      </c>
      <c r="F32" s="118"/>
      <c r="G32" s="67"/>
      <c r="H32" s="67"/>
    </row>
    <row r="33">
      <c r="A33" s="67"/>
      <c r="B33" s="122" t="s">
        <v>307</v>
      </c>
      <c r="C33" s="123">
        <f>sum('BC Pay-ins LatAm'!C34:G34)+SUM(' BC Pay-ins NA'!C34:G34)+SUM('BC Pay-ins EMEA'!C34:G34)+SUM('BC Pay-ins APAC'!C34:G34)</f>
        <v>53</v>
      </c>
      <c r="F33" s="70"/>
      <c r="G33" s="67"/>
      <c r="H33" s="67"/>
    </row>
    <row r="34">
      <c r="A34" s="67"/>
      <c r="B34" s="122" t="s">
        <v>308</v>
      </c>
      <c r="C34" s="123">
        <f>C8</f>
        <v>5.4216</v>
      </c>
      <c r="D34" s="118"/>
      <c r="E34" s="118"/>
      <c r="F34" s="118"/>
      <c r="G34" s="67"/>
      <c r="H34" s="67"/>
    </row>
    <row r="35">
      <c r="A35" s="67"/>
      <c r="B35" s="122" t="s">
        <v>309</v>
      </c>
      <c r="C35" s="124" t="str">
        <f>C23</f>
        <v>20.25 years</v>
      </c>
      <c r="D35" s="70"/>
      <c r="E35" s="70"/>
      <c r="F35" s="70"/>
      <c r="G35" s="67"/>
      <c r="H35" s="67"/>
    </row>
    <row r="36">
      <c r="A36" s="67"/>
      <c r="B36" s="116"/>
      <c r="C36" s="121"/>
      <c r="D36" s="118"/>
      <c r="E36" s="118"/>
      <c r="F36" s="118"/>
      <c r="G36" s="67"/>
      <c r="H36" s="67"/>
    </row>
    <row r="37">
      <c r="A37" s="67"/>
      <c r="B37" s="116"/>
      <c r="C37" s="125"/>
      <c r="D37" s="118"/>
      <c r="E37" s="118"/>
      <c r="F37" s="118"/>
      <c r="G37" s="67"/>
      <c r="H37" s="67"/>
    </row>
    <row r="38">
      <c r="A38" s="67"/>
      <c r="B38" s="116"/>
      <c r="C38" s="121"/>
      <c r="D38" s="118"/>
      <c r="E38" s="118"/>
      <c r="F38" s="118"/>
      <c r="G38" s="67"/>
      <c r="H38" s="67"/>
    </row>
    <row r="39">
      <c r="A39" s="67"/>
      <c r="B39" s="116"/>
      <c r="C39" s="125"/>
      <c r="D39" s="118"/>
      <c r="E39" s="118"/>
      <c r="F39" s="118"/>
      <c r="G39" s="67"/>
      <c r="H39" s="67"/>
    </row>
    <row r="40">
      <c r="A40" s="67"/>
      <c r="B40" s="116"/>
      <c r="C40" s="121"/>
      <c r="D40" s="118"/>
      <c r="E40" s="118"/>
      <c r="F40" s="118"/>
      <c r="G40" s="67"/>
      <c r="H40" s="67"/>
    </row>
    <row r="41">
      <c r="A41" s="67"/>
      <c r="B41" s="116"/>
      <c r="C41" s="125"/>
      <c r="D41" s="118"/>
      <c r="E41" s="118"/>
      <c r="F41" s="118"/>
      <c r="G41" s="67"/>
      <c r="H41" s="67"/>
    </row>
    <row r="42">
      <c r="A42" s="67"/>
      <c r="B42" s="116"/>
      <c r="C42" s="125"/>
      <c r="D42" s="118"/>
      <c r="E42" s="118"/>
      <c r="F42" s="118"/>
      <c r="G42" s="67"/>
      <c r="H42" s="67"/>
    </row>
    <row r="43">
      <c r="A43" s="67"/>
      <c r="B43" s="116"/>
      <c r="C43" s="125"/>
      <c r="D43" s="118"/>
      <c r="E43" s="118"/>
      <c r="F43" s="118"/>
      <c r="G43" s="67"/>
      <c r="H43" s="67"/>
    </row>
    <row r="44">
      <c r="A44" s="67"/>
      <c r="B44" s="116"/>
      <c r="C44" s="126"/>
      <c r="D44" s="118"/>
      <c r="E44" s="118"/>
      <c r="F44" s="118"/>
      <c r="G44" s="67"/>
      <c r="H44" s="67"/>
    </row>
    <row r="45">
      <c r="A45" s="67"/>
      <c r="B45" s="116"/>
      <c r="C45" s="125"/>
      <c r="D45" s="118"/>
      <c r="E45" s="118"/>
      <c r="F45" s="118"/>
      <c r="G45" s="67"/>
      <c r="H45" s="67"/>
    </row>
    <row r="46">
      <c r="A46" s="67"/>
      <c r="B46" s="116"/>
      <c r="C46" s="125"/>
      <c r="D46" s="118"/>
      <c r="E46" s="118"/>
      <c r="F46" s="118"/>
      <c r="G46" s="67"/>
      <c r="H46" s="67"/>
    </row>
    <row r="47">
      <c r="A47" s="67"/>
      <c r="B47" s="116"/>
      <c r="C47" s="125"/>
      <c r="D47" s="118"/>
      <c r="E47" s="118"/>
      <c r="F47" s="118"/>
      <c r="G47" s="67"/>
      <c r="H47" s="67"/>
    </row>
    <row r="48">
      <c r="A48" s="67"/>
      <c r="B48" s="116"/>
      <c r="C48" s="125"/>
      <c r="D48" s="118"/>
      <c r="E48" s="118"/>
      <c r="F48" s="118"/>
      <c r="G48" s="67"/>
      <c r="H48" s="67"/>
    </row>
    <row r="49">
      <c r="A49" s="67"/>
      <c r="B49" s="116"/>
      <c r="C49" s="125"/>
      <c r="D49" s="118"/>
      <c r="E49" s="118"/>
      <c r="F49" s="118"/>
      <c r="G49" s="67"/>
      <c r="H49" s="67"/>
    </row>
    <row r="50">
      <c r="A50" s="67"/>
      <c r="B50" s="116"/>
      <c r="C50" s="125"/>
      <c r="D50" s="118"/>
      <c r="E50" s="118"/>
      <c r="F50" s="118"/>
      <c r="G50" s="67"/>
      <c r="H50" s="67"/>
    </row>
    <row r="51">
      <c r="A51" s="67"/>
      <c r="B51" s="116"/>
      <c r="C51" s="125"/>
      <c r="D51" s="118"/>
      <c r="E51" s="118"/>
      <c r="F51" s="118"/>
      <c r="G51" s="67"/>
      <c r="H51" s="67"/>
    </row>
    <row r="52">
      <c r="A52" s="67"/>
      <c r="B52" s="116"/>
      <c r="C52" s="125"/>
      <c r="D52" s="118"/>
      <c r="E52" s="118"/>
      <c r="F52" s="118"/>
      <c r="G52" s="67"/>
      <c r="H52" s="67"/>
    </row>
    <row r="53">
      <c r="A53" s="67"/>
      <c r="B53" s="116"/>
      <c r="C53" s="125"/>
      <c r="D53" s="118"/>
      <c r="E53" s="118"/>
      <c r="F53" s="118"/>
      <c r="G53" s="67"/>
      <c r="H53" s="67"/>
    </row>
    <row r="54">
      <c r="A54" s="67"/>
      <c r="B54" s="116"/>
      <c r="C54" s="125"/>
      <c r="D54" s="118"/>
      <c r="E54" s="118"/>
      <c r="F54" s="118"/>
      <c r="G54" s="67"/>
      <c r="H54" s="67"/>
    </row>
    <row r="55">
      <c r="A55" s="67"/>
      <c r="B55" s="116"/>
      <c r="C55" s="125"/>
      <c r="D55" s="118"/>
      <c r="E55" s="118"/>
      <c r="F55" s="118"/>
      <c r="G55" s="67"/>
      <c r="H55" s="67"/>
    </row>
    <row r="56">
      <c r="A56" s="67"/>
      <c r="B56" s="116"/>
      <c r="C56" s="125"/>
      <c r="D56" s="118"/>
      <c r="E56" s="118"/>
      <c r="F56" s="118"/>
      <c r="G56" s="67"/>
      <c r="H56" s="67"/>
    </row>
    <row r="57">
      <c r="A57" s="67"/>
      <c r="B57" s="116"/>
      <c r="C57" s="125"/>
      <c r="D57" s="118"/>
      <c r="E57" s="118"/>
      <c r="F57" s="118"/>
      <c r="G57" s="67"/>
      <c r="H57" s="67"/>
    </row>
    <row r="58">
      <c r="A58" s="67"/>
      <c r="B58" s="116"/>
      <c r="C58" s="125"/>
      <c r="D58" s="118"/>
      <c r="E58" s="118"/>
      <c r="F58" s="118"/>
      <c r="G58" s="67"/>
      <c r="H58" s="67"/>
    </row>
    <row r="59">
      <c r="A59" s="67"/>
      <c r="B59" s="116"/>
      <c r="C59" s="125"/>
      <c r="D59" s="118"/>
      <c r="E59" s="118"/>
      <c r="F59" s="118"/>
      <c r="G59" s="67"/>
      <c r="H59" s="67"/>
    </row>
    <row r="60">
      <c r="A60" s="67"/>
      <c r="B60" s="116"/>
      <c r="C60" s="125"/>
      <c r="D60" s="118"/>
      <c r="E60" s="118"/>
      <c r="F60" s="118"/>
      <c r="G60" s="67"/>
      <c r="H60" s="67"/>
    </row>
    <row r="61">
      <c r="A61" s="67"/>
      <c r="B61" s="116"/>
      <c r="C61" s="125"/>
      <c r="D61" s="118"/>
      <c r="E61" s="118"/>
      <c r="F61" s="118"/>
      <c r="G61" s="67"/>
      <c r="H61" s="67"/>
    </row>
    <row r="62">
      <c r="A62" s="67"/>
      <c r="B62" s="116"/>
      <c r="C62" s="125"/>
      <c r="D62" s="118"/>
      <c r="E62" s="118"/>
      <c r="F62" s="118"/>
      <c r="G62" s="67"/>
      <c r="H62" s="67"/>
    </row>
    <row r="63">
      <c r="A63" s="67"/>
      <c r="B63" s="116"/>
      <c r="C63" s="125"/>
      <c r="D63" s="118"/>
      <c r="E63" s="118"/>
      <c r="F63" s="118"/>
      <c r="G63" s="67"/>
      <c r="H63" s="67"/>
    </row>
    <row r="64">
      <c r="A64" s="67"/>
      <c r="B64" s="116"/>
      <c r="C64" s="125"/>
      <c r="D64" s="118"/>
      <c r="E64" s="118"/>
      <c r="F64" s="118"/>
      <c r="G64" s="67"/>
      <c r="H64" s="67"/>
    </row>
    <row r="65">
      <c r="A65" s="67"/>
      <c r="B65" s="116"/>
      <c r="C65" s="125"/>
      <c r="D65" s="118"/>
      <c r="E65" s="118"/>
      <c r="F65" s="118"/>
      <c r="G65" s="67"/>
      <c r="H65" s="67"/>
    </row>
    <row r="66">
      <c r="A66" s="67"/>
      <c r="B66" s="116"/>
      <c r="C66" s="125"/>
      <c r="D66" s="118"/>
      <c r="E66" s="118"/>
      <c r="F66" s="118"/>
      <c r="G66" s="67"/>
      <c r="H66" s="67"/>
    </row>
    <row r="67">
      <c r="A67" s="67"/>
      <c r="B67" s="116"/>
      <c r="C67" s="125"/>
      <c r="D67" s="118"/>
      <c r="E67" s="118"/>
      <c r="F67" s="118"/>
      <c r="G67" s="67"/>
      <c r="H67" s="67"/>
    </row>
    <row r="68">
      <c r="A68" s="67"/>
      <c r="B68" s="116"/>
      <c r="C68" s="125"/>
      <c r="D68" s="118"/>
      <c r="E68" s="118"/>
      <c r="F68" s="118"/>
      <c r="G68" s="67"/>
      <c r="H68" s="67"/>
    </row>
    <row r="69">
      <c r="A69" s="67"/>
      <c r="B69" s="116"/>
      <c r="C69" s="125"/>
      <c r="D69" s="118"/>
      <c r="E69" s="118"/>
      <c r="F69" s="118"/>
      <c r="G69" s="67"/>
      <c r="H69" s="67"/>
    </row>
    <row r="70">
      <c r="A70" s="67"/>
      <c r="B70" s="116"/>
      <c r="C70" s="125"/>
      <c r="D70" s="118"/>
      <c r="E70" s="118"/>
      <c r="F70" s="118"/>
      <c r="G70" s="67"/>
      <c r="H70" s="67"/>
    </row>
    <row r="71">
      <c r="A71" s="67"/>
      <c r="B71" s="116"/>
      <c r="C71" s="125"/>
      <c r="D71" s="118"/>
      <c r="E71" s="118"/>
      <c r="F71" s="118"/>
      <c r="G71" s="67"/>
      <c r="H71" s="67"/>
    </row>
    <row r="72">
      <c r="A72" s="67"/>
      <c r="B72" s="116"/>
      <c r="C72" s="125"/>
      <c r="D72" s="118"/>
      <c r="E72" s="118"/>
      <c r="F72" s="118"/>
      <c r="G72" s="67"/>
      <c r="H72" s="67"/>
    </row>
    <row r="73">
      <c r="A73" s="67"/>
      <c r="B73" s="116"/>
      <c r="C73" s="125"/>
      <c r="D73" s="118"/>
      <c r="E73" s="118"/>
      <c r="F73" s="118"/>
      <c r="G73" s="67"/>
      <c r="H73" s="67"/>
    </row>
    <row r="74">
      <c r="A74" s="67"/>
      <c r="B74" s="116"/>
      <c r="C74" s="125"/>
      <c r="D74" s="118"/>
      <c r="E74" s="118"/>
      <c r="F74" s="118"/>
      <c r="G74" s="67"/>
      <c r="H74" s="67"/>
    </row>
    <row r="75">
      <c r="A75" s="67"/>
      <c r="B75" s="116"/>
      <c r="C75" s="125"/>
      <c r="D75" s="118"/>
      <c r="E75" s="118"/>
      <c r="F75" s="118"/>
      <c r="G75" s="67"/>
      <c r="H75" s="67"/>
    </row>
    <row r="76">
      <c r="A76" s="67"/>
      <c r="B76" s="116"/>
      <c r="C76" s="125"/>
      <c r="D76" s="118"/>
      <c r="E76" s="118"/>
      <c r="F76" s="118"/>
      <c r="G76" s="67"/>
      <c r="H76" s="67"/>
    </row>
    <row r="77">
      <c r="A77" s="67"/>
      <c r="B77" s="116"/>
      <c r="C77" s="125"/>
      <c r="D77" s="118"/>
      <c r="E77" s="118"/>
      <c r="F77" s="118"/>
      <c r="G77" s="67"/>
      <c r="H77" s="67"/>
    </row>
    <row r="78">
      <c r="A78" s="67"/>
      <c r="B78" s="116"/>
      <c r="C78" s="125"/>
      <c r="D78" s="118"/>
      <c r="E78" s="118"/>
      <c r="F78" s="118"/>
      <c r="G78" s="67"/>
      <c r="H78" s="67"/>
    </row>
    <row r="79">
      <c r="A79" s="67"/>
      <c r="B79" s="116"/>
      <c r="C79" s="125"/>
      <c r="D79" s="118"/>
      <c r="E79" s="118"/>
      <c r="F79" s="118"/>
      <c r="G79" s="67"/>
      <c r="H79" s="67"/>
    </row>
    <row r="80">
      <c r="A80" s="67"/>
      <c r="B80" s="116"/>
      <c r="C80" s="125"/>
      <c r="D80" s="118"/>
      <c r="E80" s="118"/>
      <c r="F80" s="118"/>
      <c r="G80" s="67"/>
      <c r="H80" s="67"/>
    </row>
    <row r="81">
      <c r="A81" s="67"/>
      <c r="B81" s="116"/>
      <c r="C81" s="125"/>
      <c r="D81" s="118"/>
      <c r="E81" s="118"/>
      <c r="F81" s="118"/>
      <c r="G81" s="67"/>
      <c r="H81" s="67"/>
    </row>
    <row r="82">
      <c r="A82" s="67"/>
      <c r="B82" s="116"/>
      <c r="C82" s="125"/>
      <c r="D82" s="118"/>
      <c r="E82" s="118"/>
      <c r="F82" s="118"/>
      <c r="G82" s="67"/>
      <c r="H82" s="67"/>
    </row>
    <row r="83">
      <c r="A83" s="67"/>
      <c r="B83" s="116"/>
      <c r="C83" s="125"/>
      <c r="D83" s="118"/>
      <c r="E83" s="118"/>
      <c r="F83" s="118"/>
      <c r="G83" s="67"/>
      <c r="H83" s="67"/>
    </row>
    <row r="84">
      <c r="A84" s="67"/>
      <c r="B84" s="116"/>
      <c r="C84" s="125"/>
      <c r="D84" s="118"/>
      <c r="E84" s="118"/>
      <c r="F84" s="118"/>
      <c r="G84" s="67"/>
      <c r="H84" s="67"/>
    </row>
    <row r="85">
      <c r="A85" s="67"/>
      <c r="B85" s="116"/>
      <c r="C85" s="125"/>
      <c r="D85" s="118"/>
      <c r="E85" s="118"/>
      <c r="F85" s="118"/>
      <c r="G85" s="67"/>
      <c r="H85" s="67"/>
    </row>
    <row r="86">
      <c r="A86" s="67"/>
      <c r="B86" s="116"/>
      <c r="C86" s="125"/>
      <c r="D86" s="118"/>
      <c r="E86" s="118"/>
      <c r="F86" s="118"/>
      <c r="G86" s="67"/>
      <c r="H86" s="67"/>
    </row>
    <row r="87">
      <c r="A87" s="67"/>
      <c r="B87" s="116"/>
      <c r="C87" s="125"/>
      <c r="D87" s="118"/>
      <c r="E87" s="118"/>
      <c r="F87" s="118"/>
      <c r="G87" s="67"/>
      <c r="H87" s="67"/>
    </row>
    <row r="88">
      <c r="A88" s="67"/>
      <c r="B88" s="116"/>
      <c r="C88" s="125"/>
      <c r="D88" s="118"/>
      <c r="E88" s="118"/>
      <c r="F88" s="118"/>
      <c r="G88" s="67"/>
      <c r="H88" s="67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312</v>
      </c>
      <c r="D3" s="136" t="s">
        <v>313</v>
      </c>
      <c r="E3" s="136" t="s">
        <v>314</v>
      </c>
      <c r="F3" s="136" t="s">
        <v>315</v>
      </c>
      <c r="G3" s="136" t="s">
        <v>316</v>
      </c>
      <c r="H3" s="137" t="s">
        <v>317</v>
      </c>
      <c r="I3" s="130"/>
      <c r="J3" s="137" t="s">
        <v>318</v>
      </c>
      <c r="K3" s="137" t="s">
        <v>318</v>
      </c>
      <c r="L3" s="130"/>
      <c r="M3" s="138" t="s">
        <v>319</v>
      </c>
      <c r="N3" s="67"/>
      <c r="O3" s="67"/>
    </row>
    <row r="4">
      <c r="A4" s="132"/>
      <c r="B4" s="116" t="s">
        <v>320</v>
      </c>
      <c r="C4" s="139">
        <v>0.0455</v>
      </c>
      <c r="D4" s="139">
        <v>0.0295</v>
      </c>
      <c r="E4" s="139">
        <v>0.0278</v>
      </c>
      <c r="F4" s="139">
        <v>0.0252</v>
      </c>
      <c r="G4" s="139">
        <v>0.0159</v>
      </c>
      <c r="H4" s="140">
        <f>SUM(C4:G4)</f>
        <v>0.1439</v>
      </c>
      <c r="I4" s="130"/>
      <c r="J4" s="130"/>
      <c r="K4" s="141"/>
      <c r="L4" s="130"/>
      <c r="M4" s="141" t="s">
        <v>321</v>
      </c>
      <c r="N4" s="67"/>
      <c r="O4" s="67"/>
    </row>
    <row r="5">
      <c r="A5" s="132"/>
      <c r="B5" s="142" t="s">
        <v>322</v>
      </c>
      <c r="C5" s="143">
        <f>C4*RESUMEN!$C$13</f>
        <v>27300000</v>
      </c>
      <c r="D5" s="143">
        <f>D4*RESUMEN!$C$13</f>
        <v>17700000</v>
      </c>
      <c r="E5" s="143">
        <f>E4*RESUMEN!$C$13</f>
        <v>16680000</v>
      </c>
      <c r="F5" s="143">
        <f>F4*RESUMEN!$C$13</f>
        <v>15120000</v>
      </c>
      <c r="G5" s="143">
        <f>G4*RESUMEN!$C$13</f>
        <v>9540000</v>
      </c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323</v>
      </c>
      <c r="C6" s="146">
        <v>0.1</v>
      </c>
      <c r="D6" s="146">
        <v>0.1</v>
      </c>
      <c r="E6" s="146">
        <v>0.1</v>
      </c>
      <c r="F6" s="146">
        <v>0.1</v>
      </c>
      <c r="G6" s="146">
        <v>0.1</v>
      </c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324</v>
      </c>
      <c r="C7" s="148">
        <f>VLOOKUP(RESUMEN!$C$4,'Aceptance Rate Delta per Indust'!$B$3:$K$40,9,false)</f>
        <v>0.1</v>
      </c>
      <c r="D7" s="148">
        <f>VLOOKUP(RESUMEN!$C$4,'Aceptance Rate Delta per Indust'!$B$3:$K$40,9,false)</f>
        <v>0.1</v>
      </c>
      <c r="E7" s="148">
        <f>VLOOKUP(RESUMEN!$C$4,'Aceptance Rate Delta per Indust'!$B$3:$K$40,9,false)</f>
        <v>0.1</v>
      </c>
      <c r="F7" s="148">
        <f>VLOOKUP(RESUMEN!$C$4,'Aceptance Rate Delta per Indust'!$B$3:$K$40,9,false)</f>
        <v>0.1</v>
      </c>
      <c r="G7" s="148">
        <f>VLOOKUP(RESUMEN!$C$4,'Aceptance Rate Delta per Indust'!$B$3:$K$40,9,false)</f>
        <v>0.1</v>
      </c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325</v>
      </c>
      <c r="C8" s="150">
        <f>VLOOKUP(RESUMEN!$C$4,'Aceptance Rate Delta per Indust'!$B$3:$K$40,10,false)</f>
        <v>0.7</v>
      </c>
      <c r="D8" s="150">
        <f>VLOOKUP(RESUMEN!$C$4,'Aceptance Rate Delta per Indust'!$B$3:$K$40,10,false)</f>
        <v>0.7</v>
      </c>
      <c r="E8" s="150">
        <f>VLOOKUP(RESUMEN!$C$4,'Aceptance Rate Delta per Indust'!$B$3:$K$40,10,false)</f>
        <v>0.7</v>
      </c>
      <c r="F8" s="150">
        <f>VLOOKUP(RESUMEN!$C$4,'Aceptance Rate Delta per Indust'!$B$3:$K$40,10,false)</f>
        <v>0.7</v>
      </c>
      <c r="G8" s="150">
        <f>VLOOKUP(RESUMEN!$C$4,'Aceptance Rate Delta per Indust'!$B$3:$K$40,10,false)</f>
        <v>0.7</v>
      </c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326</v>
      </c>
      <c r="C9" s="143">
        <f t="shared" ref="C9:G9" si="1">(ROUND(C5*C6,0))</f>
        <v>2730000</v>
      </c>
      <c r="D9" s="143">
        <f t="shared" si="1"/>
        <v>1770000</v>
      </c>
      <c r="E9" s="143">
        <f t="shared" si="1"/>
        <v>1668000</v>
      </c>
      <c r="F9" s="143">
        <f t="shared" si="1"/>
        <v>1512000</v>
      </c>
      <c r="G9" s="143">
        <f t="shared" si="1"/>
        <v>954000</v>
      </c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327</v>
      </c>
      <c r="C10" s="151">
        <v>20.0</v>
      </c>
      <c r="D10" s="151">
        <v>20.0</v>
      </c>
      <c r="E10" s="151">
        <v>20.0</v>
      </c>
      <c r="F10" s="151">
        <v>20.0</v>
      </c>
      <c r="G10" s="151">
        <v>20.0</v>
      </c>
      <c r="H10" s="95"/>
      <c r="I10" s="152"/>
      <c r="J10" s="152"/>
      <c r="K10" s="152"/>
      <c r="L10" s="152"/>
      <c r="M10" s="152" t="s">
        <v>328</v>
      </c>
      <c r="N10" s="67"/>
      <c r="O10" s="67"/>
    </row>
    <row r="11" outlineLevel="1">
      <c r="A11" s="132"/>
      <c r="B11" s="153" t="s">
        <v>329</v>
      </c>
      <c r="C11" s="154">
        <f>(RESUMEN!$C$13*C4*C6*C10)/1000000</f>
        <v>54.6</v>
      </c>
      <c r="D11" s="154">
        <f>(RESUMEN!$C$13*D4*D6*D10)/1000000</f>
        <v>35.4</v>
      </c>
      <c r="E11" s="154">
        <f>(RESUMEN!$C$13*E4*E6*E10)/1000000</f>
        <v>33.36</v>
      </c>
      <c r="F11" s="154">
        <f>(RESUMEN!$C$13*F4*F6*F10)/1000000</f>
        <v>30.24</v>
      </c>
      <c r="G11" s="154">
        <f>(RESUMEN!$C$13*G4*G6*G10)/1000000</f>
        <v>19.08</v>
      </c>
      <c r="H11" s="155">
        <f>SUM(C11:G11)</f>
        <v>172.68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330</v>
      </c>
      <c r="C12" s="156">
        <v>1.0</v>
      </c>
      <c r="D12" s="156">
        <v>1.0</v>
      </c>
      <c r="E12" s="156">
        <v>1.0</v>
      </c>
      <c r="F12" s="156">
        <v>1.0</v>
      </c>
      <c r="G12" s="156">
        <v>1.0</v>
      </c>
      <c r="H12" s="95"/>
      <c r="K12" s="152"/>
      <c r="M12" s="152" t="s">
        <v>331</v>
      </c>
      <c r="N12" s="67"/>
      <c r="O12" s="67"/>
    </row>
    <row r="13">
      <c r="A13" s="132"/>
      <c r="B13" s="153" t="s">
        <v>332</v>
      </c>
      <c r="C13" s="157">
        <f t="shared" ref="C13:F13" si="2">(C12*C11)</f>
        <v>54.6</v>
      </c>
      <c r="D13" s="157">
        <f t="shared" si="2"/>
        <v>35.4</v>
      </c>
      <c r="E13" s="157">
        <f t="shared" si="2"/>
        <v>33.36</v>
      </c>
      <c r="F13" s="157">
        <f t="shared" si="2"/>
        <v>30.24</v>
      </c>
      <c r="G13" s="157">
        <f>G12*G11</f>
        <v>19.08</v>
      </c>
      <c r="H13" s="158">
        <f>SUM(C13:G13)</f>
        <v>172.68</v>
      </c>
      <c r="K13" s="152"/>
      <c r="M13" s="152" t="s">
        <v>333</v>
      </c>
      <c r="N13" s="95"/>
      <c r="O13" s="95"/>
    </row>
    <row r="14">
      <c r="A14" s="132"/>
      <c r="B14" s="133" t="s">
        <v>334</v>
      </c>
      <c r="C14" s="159">
        <f t="shared" ref="C14:G14" si="3">1-C12</f>
        <v>0</v>
      </c>
      <c r="D14" s="159">
        <f t="shared" si="3"/>
        <v>0</v>
      </c>
      <c r="E14" s="159">
        <f t="shared" si="3"/>
        <v>0</v>
      </c>
      <c r="F14" s="159">
        <f t="shared" si="3"/>
        <v>0</v>
      </c>
      <c r="G14" s="159">
        <f t="shared" si="3"/>
        <v>0</v>
      </c>
      <c r="H14" s="95"/>
      <c r="K14" s="152"/>
      <c r="M14" s="152" t="s">
        <v>335</v>
      </c>
      <c r="N14" s="95"/>
      <c r="O14" s="95"/>
    </row>
    <row r="15">
      <c r="A15" s="132"/>
      <c r="B15" s="160" t="s">
        <v>336</v>
      </c>
      <c r="C15" s="161">
        <f t="shared" ref="C15:G15" si="4">C14*C11</f>
        <v>0</v>
      </c>
      <c r="D15" s="161">
        <f t="shared" si="4"/>
        <v>0</v>
      </c>
      <c r="E15" s="161">
        <f t="shared" si="4"/>
        <v>0</v>
      </c>
      <c r="F15" s="161">
        <f t="shared" si="4"/>
        <v>0</v>
      </c>
      <c r="G15" s="161">
        <f t="shared" si="4"/>
        <v>0</v>
      </c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337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338</v>
      </c>
      <c r="C18" s="166">
        <v>0.05</v>
      </c>
      <c r="D18" s="166">
        <v>0.05</v>
      </c>
      <c r="E18" s="166">
        <v>0.05</v>
      </c>
      <c r="F18" s="166">
        <v>0.05</v>
      </c>
      <c r="G18" s="166">
        <v>0.05</v>
      </c>
      <c r="H18" s="167" t="s">
        <v>20</v>
      </c>
      <c r="K18" s="168"/>
      <c r="M18" s="168"/>
      <c r="N18" s="95"/>
      <c r="O18" s="95"/>
    </row>
    <row r="19">
      <c r="A19" s="132"/>
      <c r="B19" s="169" t="s">
        <v>339</v>
      </c>
      <c r="C19" s="170">
        <f t="shared" ref="C19:G19" si="5">C13*C18</f>
        <v>2.73</v>
      </c>
      <c r="D19" s="170">
        <f t="shared" si="5"/>
        <v>1.77</v>
      </c>
      <c r="E19" s="170">
        <f t="shared" si="5"/>
        <v>1.668</v>
      </c>
      <c r="F19" s="170">
        <f t="shared" si="5"/>
        <v>1.512</v>
      </c>
      <c r="G19" s="170">
        <f t="shared" si="5"/>
        <v>0.954</v>
      </c>
      <c r="H19" s="171">
        <f t="shared" ref="H19:H20" si="6">SUM(C19:G19)</f>
        <v>8.634</v>
      </c>
      <c r="J19" s="171">
        <f t="shared" ref="J19:J20" si="7">rounddown(H19-1,0)</f>
        <v>7</v>
      </c>
      <c r="K19" s="171">
        <f t="shared" ref="K19:K20" si="8">ROUNDUP(H19-1,0)+1</f>
        <v>9</v>
      </c>
      <c r="M19" s="152" t="s">
        <v>333</v>
      </c>
      <c r="N19" s="95"/>
      <c r="O19" s="95"/>
    </row>
    <row r="20">
      <c r="A20" s="132"/>
      <c r="B20" s="172" t="s">
        <v>340</v>
      </c>
      <c r="C20" s="173">
        <f>C19*RESUMEN!$C$15</f>
        <v>1.638</v>
      </c>
      <c r="D20" s="173">
        <f>D19*RESUMEN!$C$15</f>
        <v>1.062</v>
      </c>
      <c r="E20" s="173">
        <f>E19*RESUMEN!$C$15</f>
        <v>1.0008</v>
      </c>
      <c r="F20" s="173">
        <f>F19*RESUMEN!$C$15</f>
        <v>0.9072</v>
      </c>
      <c r="G20" s="173">
        <f>G19*RESUMEN!$C$15</f>
        <v>0.5724</v>
      </c>
      <c r="H20" s="171">
        <f t="shared" si="6"/>
        <v>5.1804</v>
      </c>
      <c r="J20" s="171">
        <f t="shared" si="7"/>
        <v>4</v>
      </c>
      <c r="K20" s="171">
        <f t="shared" si="8"/>
        <v>6</v>
      </c>
      <c r="M20" s="152" t="s">
        <v>333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341</v>
      </c>
      <c r="C22" s="177">
        <f t="shared" ref="C22:G22" si="9">C$11*C12+C19</f>
        <v>57.33</v>
      </c>
      <c r="D22" s="177">
        <f t="shared" si="9"/>
        <v>37.17</v>
      </c>
      <c r="E22" s="177">
        <f t="shared" si="9"/>
        <v>35.028</v>
      </c>
      <c r="F22" s="177">
        <f t="shared" si="9"/>
        <v>31.752</v>
      </c>
      <c r="G22" s="177">
        <f t="shared" si="9"/>
        <v>20.034</v>
      </c>
      <c r="H22" s="67"/>
      <c r="K22" s="130"/>
      <c r="M22" s="130"/>
      <c r="N22" s="95"/>
      <c r="O22" s="95"/>
    </row>
    <row r="23">
      <c r="A23" s="132"/>
      <c r="B23" s="178" t="s">
        <v>342</v>
      </c>
      <c r="C23" s="179" t="s">
        <v>343</v>
      </c>
      <c r="D23" s="180" t="s">
        <v>343</v>
      </c>
      <c r="E23" s="180" t="s">
        <v>343</v>
      </c>
      <c r="F23" s="180" t="s">
        <v>343</v>
      </c>
      <c r="G23" s="180" t="s">
        <v>343</v>
      </c>
      <c r="H23" s="67"/>
      <c r="K23" s="152"/>
      <c r="M23" s="152" t="s">
        <v>344</v>
      </c>
      <c r="N23" s="67"/>
      <c r="O23" s="67"/>
    </row>
    <row r="24">
      <c r="A24" s="132"/>
      <c r="B24" s="181" t="s">
        <v>345</v>
      </c>
      <c r="C24" s="148">
        <f>if(C23="Yes",VLOOKUP(RESUMEN!$C$4,'Aceptance Rate Delta per Indust'!$B$3:$G$40,5,FALSE),VLOOKUP(RESUMEN!$C$4,'Aceptance Rate Delta per Indust'!$B$3:$G$40,6,FALSE))</f>
        <v>0.06</v>
      </c>
      <c r="D24" s="148">
        <f>if(D23="Yes",VLOOKUP(RESUMEN!$C$4,'Aceptance Rate Delta per Indust'!$B$3:$G$40,5,FALSE),VLOOKUP(RESUMEN!$C$4,'Aceptance Rate Delta per Indust'!$B$3:$G$40,6,FALSE))</f>
        <v>0.06</v>
      </c>
      <c r="E24" s="148">
        <f>if(E23="Yes",VLOOKUP(RESUMEN!$C$4,'Aceptance Rate Delta per Indust'!$B$3:$G$40,5,FALSE),VLOOKUP(RESUMEN!$C$4,'Aceptance Rate Delta per Indust'!$B$3:$G$40,6,FALSE))</f>
        <v>0.06</v>
      </c>
      <c r="F24" s="148">
        <f>if(F23="Yes",VLOOKUP(RESUMEN!$C$4,'Aceptance Rate Delta per Indust'!$B$3:$G$40,5,FALSE),VLOOKUP(RESUMEN!$C$4,'Aceptance Rate Delta per Indust'!$B$3:$G$40,6,FALSE))</f>
        <v>0.06</v>
      </c>
      <c r="G24" s="148">
        <f>if(G23="Yes",VLOOKUP(RESUMEN!$C$4,'Aceptance Rate Delta per Indust'!$B$3:$G$40,5,FALSE),VLOOKUP(RESUMEN!$C$4,'Aceptance Rate Delta per Indust'!$B$3:$G$40,6,FALSE))</f>
        <v>0.06</v>
      </c>
      <c r="H24" s="67"/>
      <c r="I24" s="130"/>
      <c r="J24" s="130"/>
      <c r="K24" s="141"/>
      <c r="L24" s="130"/>
      <c r="M24" s="141" t="s">
        <v>346</v>
      </c>
      <c r="N24" s="67"/>
      <c r="O24" s="67"/>
    </row>
    <row r="25">
      <c r="A25" s="127"/>
      <c r="B25" s="182" t="s">
        <v>347</v>
      </c>
      <c r="C25" s="183">
        <f t="shared" ref="C25:G25" si="10">IFS(C23="Yes",-0.2%,C23="No",-1%)</f>
        <v>-0.01</v>
      </c>
      <c r="D25" s="183">
        <f t="shared" si="10"/>
        <v>-0.01</v>
      </c>
      <c r="E25" s="183">
        <f t="shared" si="10"/>
        <v>-0.01</v>
      </c>
      <c r="F25" s="183">
        <f t="shared" si="10"/>
        <v>-0.01</v>
      </c>
      <c r="G25" s="183">
        <f t="shared" si="10"/>
        <v>-0.01</v>
      </c>
      <c r="H25" s="67"/>
      <c r="I25" s="130"/>
      <c r="J25" s="130"/>
      <c r="K25" s="141"/>
      <c r="L25" s="130"/>
      <c r="M25" s="141" t="s">
        <v>348</v>
      </c>
      <c r="N25" s="67"/>
      <c r="O25" s="67"/>
    </row>
    <row r="26">
      <c r="A26" s="127"/>
      <c r="B26" s="184" t="s">
        <v>349</v>
      </c>
      <c r="C26" s="185">
        <f t="shared" ref="C26:G26" si="11">C24+C25</f>
        <v>0.05</v>
      </c>
      <c r="D26" s="185">
        <f t="shared" si="11"/>
        <v>0.05</v>
      </c>
      <c r="E26" s="185">
        <f t="shared" si="11"/>
        <v>0.05</v>
      </c>
      <c r="F26" s="185">
        <f t="shared" si="11"/>
        <v>0.05</v>
      </c>
      <c r="G26" s="185">
        <f t="shared" si="11"/>
        <v>0.05</v>
      </c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350</v>
      </c>
      <c r="C27" s="187">
        <f t="shared" ref="C27:G27" si="12">C25*C22*-1</f>
        <v>0.5733</v>
      </c>
      <c r="D27" s="187">
        <f t="shared" si="12"/>
        <v>0.3717</v>
      </c>
      <c r="E27" s="188">
        <f t="shared" si="12"/>
        <v>0.35028</v>
      </c>
      <c r="F27" s="187">
        <f t="shared" si="12"/>
        <v>0.31752</v>
      </c>
      <c r="G27" s="187">
        <f t="shared" si="12"/>
        <v>0.20034</v>
      </c>
      <c r="H27" s="187">
        <f>SUM(C27:G27)</f>
        <v>1.81314</v>
      </c>
      <c r="I27" s="189" t="s">
        <v>20</v>
      </c>
      <c r="J27" s="171">
        <f>rounddown(H27-1,0)</f>
        <v>0</v>
      </c>
      <c r="K27" s="171">
        <f>ROUNDUP(H27-1,0)+1</f>
        <v>2</v>
      </c>
      <c r="L27" s="152"/>
      <c r="M27" s="152" t="s">
        <v>333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351</v>
      </c>
      <c r="C29" s="190">
        <f t="shared" ref="C29:G29" si="13">C27+C20</f>
        <v>2.2113</v>
      </c>
      <c r="D29" s="190">
        <f t="shared" si="13"/>
        <v>1.4337</v>
      </c>
      <c r="E29" s="191">
        <f t="shared" si="13"/>
        <v>1.35108</v>
      </c>
      <c r="F29" s="190">
        <f t="shared" si="13"/>
        <v>1.22472</v>
      </c>
      <c r="G29" s="190">
        <f t="shared" si="13"/>
        <v>0.77274</v>
      </c>
      <c r="H29" s="192">
        <f>SUM(C29:G29)</f>
        <v>6.99354</v>
      </c>
      <c r="I29" s="168"/>
      <c r="J29" s="168" t="s">
        <v>20</v>
      </c>
      <c r="K29" s="141"/>
      <c r="L29" s="168"/>
      <c r="M29" s="141" t="s">
        <v>352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353</v>
      </c>
      <c r="C31" s="194" t="s">
        <v>354</v>
      </c>
      <c r="D31" s="194" t="s">
        <v>355</v>
      </c>
      <c r="E31" s="194" t="s">
        <v>356</v>
      </c>
      <c r="F31" s="194" t="s">
        <v>357</v>
      </c>
      <c r="G31" s="194" t="s">
        <v>358</v>
      </c>
      <c r="H31" s="175"/>
      <c r="I31" s="195"/>
      <c r="J31" s="195"/>
      <c r="K31" s="141"/>
      <c r="L31" s="195"/>
      <c r="M31" s="141" t="s">
        <v>359</v>
      </c>
      <c r="N31" s="67"/>
      <c r="O31" s="67"/>
    </row>
    <row r="32">
      <c r="A32" s="127"/>
      <c r="B32" s="176" t="s">
        <v>360</v>
      </c>
      <c r="C32" s="177">
        <f t="shared" ref="C32:G32" si="14">C11*C14</f>
        <v>0</v>
      </c>
      <c r="D32" s="177">
        <f t="shared" si="14"/>
        <v>0</v>
      </c>
      <c r="E32" s="177">
        <f t="shared" si="14"/>
        <v>0</v>
      </c>
      <c r="F32" s="177">
        <f t="shared" si="14"/>
        <v>0</v>
      </c>
      <c r="G32" s="177">
        <f t="shared" si="14"/>
        <v>0</v>
      </c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361</v>
      </c>
      <c r="C33" s="179">
        <v>0.0</v>
      </c>
      <c r="D33" s="179">
        <v>0.0</v>
      </c>
      <c r="E33" s="179">
        <v>0.0</v>
      </c>
      <c r="F33" s="179">
        <v>0.0</v>
      </c>
      <c r="G33" s="179">
        <v>0.0</v>
      </c>
      <c r="H33" s="175"/>
      <c r="I33" s="193"/>
      <c r="J33" s="193"/>
      <c r="K33" s="141"/>
      <c r="L33" s="193"/>
      <c r="M33" s="141" t="s">
        <v>362</v>
      </c>
      <c r="N33" s="67"/>
      <c r="O33" s="67"/>
    </row>
    <row r="34">
      <c r="A34" s="70"/>
      <c r="B34" s="197" t="s">
        <v>363</v>
      </c>
      <c r="C34" s="198">
        <v>5.0</v>
      </c>
      <c r="D34" s="198">
        <v>5.0</v>
      </c>
      <c r="E34" s="198">
        <v>3.0</v>
      </c>
      <c r="F34" s="198">
        <v>4.0</v>
      </c>
      <c r="G34" s="198">
        <v>0.0</v>
      </c>
      <c r="H34" s="175"/>
      <c r="I34" s="193"/>
      <c r="J34" s="193"/>
      <c r="K34" s="141"/>
      <c r="L34" s="193"/>
      <c r="M34" s="141" t="s">
        <v>364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/>
      <c r="B36" s="197" t="s">
        <v>365</v>
      </c>
      <c r="C36" s="200">
        <v>0.15</v>
      </c>
      <c r="D36" s="200">
        <v>0.18</v>
      </c>
      <c r="E36" s="200">
        <v>0.1</v>
      </c>
      <c r="F36" s="200">
        <v>0.12</v>
      </c>
      <c r="G36" s="200">
        <v>0.14</v>
      </c>
      <c r="I36" s="193"/>
      <c r="J36" s="193"/>
      <c r="K36" s="141"/>
      <c r="L36" s="193"/>
      <c r="M36" s="141" t="s">
        <v>366</v>
      </c>
      <c r="N36" s="67"/>
      <c r="O36" s="67"/>
    </row>
    <row r="37">
      <c r="A37" s="127"/>
      <c r="B37" s="201" t="s">
        <v>367</v>
      </c>
      <c r="C37" s="202">
        <f t="shared" ref="C37:G37" si="15">((1+C35)+(1+C36)-1)*C11-C11</f>
        <v>8.19</v>
      </c>
      <c r="D37" s="202">
        <f t="shared" si="15"/>
        <v>6.372</v>
      </c>
      <c r="E37" s="202">
        <f t="shared" si="15"/>
        <v>3.336</v>
      </c>
      <c r="F37" s="202">
        <f t="shared" si="15"/>
        <v>3.6288</v>
      </c>
      <c r="G37" s="202">
        <f t="shared" si="15"/>
        <v>2.6712</v>
      </c>
      <c r="H37" s="202">
        <f>SUM(C37:G37)</f>
        <v>24.198</v>
      </c>
      <c r="I37" s="130"/>
      <c r="J37" s="171">
        <f>rounddown(H37-1,0)</f>
        <v>23</v>
      </c>
      <c r="K37" s="171">
        <f>ROUNDUP(H37-1,0)+1</f>
        <v>25</v>
      </c>
      <c r="L37" s="130"/>
      <c r="M37" s="152" t="s">
        <v>333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368</v>
      </c>
      <c r="C39" s="205">
        <f>C37*RESUMEN!$C$15</f>
        <v>4.914</v>
      </c>
      <c r="D39" s="205">
        <f>D37*RESUMEN!$C$15</f>
        <v>3.8232</v>
      </c>
      <c r="E39" s="205">
        <f>E37*RESUMEN!$C$15</f>
        <v>2.0016</v>
      </c>
      <c r="F39" s="205">
        <f>F37*RESUMEN!$C$15</f>
        <v>2.17728</v>
      </c>
      <c r="G39" s="205">
        <f>G37*RESUMEN!$C$15</f>
        <v>1.60272</v>
      </c>
      <c r="H39" s="202">
        <f>SUM(C39:G39)</f>
        <v>14.5188</v>
      </c>
      <c r="I39" s="189"/>
      <c r="J39" s="171">
        <f>rounddown(H39-1,0)</f>
        <v>13</v>
      </c>
      <c r="K39" s="171">
        <f>ROUNDUP(H39-1,0)+1</f>
        <v>15</v>
      </c>
      <c r="L39" s="189"/>
      <c r="M39" s="152" t="s">
        <v>333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369</v>
      </c>
      <c r="C41" s="206">
        <v>0.06</v>
      </c>
      <c r="D41" s="206">
        <v>0.08</v>
      </c>
      <c r="E41" s="206">
        <v>0.05</v>
      </c>
      <c r="F41" s="206">
        <v>0.05</v>
      </c>
      <c r="G41" s="206">
        <v>0.06</v>
      </c>
      <c r="H41" s="175"/>
      <c r="I41" s="193"/>
      <c r="J41" s="193"/>
      <c r="K41" s="141"/>
      <c r="L41" s="193"/>
      <c r="M41" s="141" t="s">
        <v>370</v>
      </c>
      <c r="N41" s="67"/>
      <c r="O41" s="67"/>
    </row>
    <row r="42">
      <c r="A42" s="127"/>
      <c r="B42" s="207" t="s">
        <v>371</v>
      </c>
      <c r="C42" s="208">
        <f t="shared" ref="C42:G42" si="16">C41*C11</f>
        <v>3.276</v>
      </c>
      <c r="D42" s="208">
        <f t="shared" si="16"/>
        <v>2.832</v>
      </c>
      <c r="E42" s="208">
        <f t="shared" si="16"/>
        <v>1.668</v>
      </c>
      <c r="F42" s="208">
        <f t="shared" si="16"/>
        <v>1.512</v>
      </c>
      <c r="G42" s="208">
        <f t="shared" si="16"/>
        <v>1.1448</v>
      </c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372</v>
      </c>
      <c r="C44" s="209">
        <f t="shared" ref="C44:G44" si="17">C24</f>
        <v>0.06</v>
      </c>
      <c r="D44" s="209">
        <f t="shared" si="17"/>
        <v>0.06</v>
      </c>
      <c r="E44" s="209">
        <f t="shared" si="17"/>
        <v>0.06</v>
      </c>
      <c r="F44" s="209">
        <f t="shared" si="17"/>
        <v>0.06</v>
      </c>
      <c r="G44" s="209">
        <f t="shared" si="17"/>
        <v>0.06</v>
      </c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373</v>
      </c>
      <c r="C45" s="211">
        <v>0.012</v>
      </c>
      <c r="D45" s="211">
        <v>0.012</v>
      </c>
      <c r="E45" s="211">
        <v>0.012</v>
      </c>
      <c r="F45" s="211">
        <v>0.012</v>
      </c>
      <c r="G45" s="211">
        <v>0.012</v>
      </c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374</v>
      </c>
      <c r="C47" s="202">
        <f t="shared" ref="C47:G47" si="18">(C42+C37)*(C44-C45)</f>
        <v>0.550368</v>
      </c>
      <c r="D47" s="202">
        <f t="shared" si="18"/>
        <v>0.441792</v>
      </c>
      <c r="E47" s="202">
        <f t="shared" si="18"/>
        <v>0.240192</v>
      </c>
      <c r="F47" s="202">
        <f t="shared" si="18"/>
        <v>0.2467584</v>
      </c>
      <c r="G47" s="202">
        <f t="shared" si="18"/>
        <v>0.183168</v>
      </c>
      <c r="H47" s="202">
        <f>SUM(C47:G47)</f>
        <v>1.6622784</v>
      </c>
      <c r="I47" s="189"/>
      <c r="J47" s="212">
        <f>if(H47&gt;1,ROUNDUP(H47-1,0),H47)</f>
        <v>1</v>
      </c>
      <c r="K47" s="212">
        <f>if(H47&gt;1,ROUNDUP(H47-1,0),H47)+2</f>
        <v>3</v>
      </c>
      <c r="L47" s="189"/>
      <c r="M47" s="152" t="s">
        <v>333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375</v>
      </c>
      <c r="C49" s="213">
        <f t="shared" ref="C49:G49" si="19">C47+C39</f>
        <v>5.464368</v>
      </c>
      <c r="D49" s="213">
        <f t="shared" si="19"/>
        <v>4.264992</v>
      </c>
      <c r="E49" s="213">
        <f t="shared" si="19"/>
        <v>2.241792</v>
      </c>
      <c r="F49" s="213">
        <f t="shared" si="19"/>
        <v>2.4240384</v>
      </c>
      <c r="G49" s="213">
        <f t="shared" si="19"/>
        <v>1.785888</v>
      </c>
      <c r="H49" s="214">
        <f>SUM(C49:G49)</f>
        <v>16.1810784</v>
      </c>
      <c r="I49" s="193"/>
      <c r="J49" s="193"/>
      <c r="K49" s="141"/>
      <c r="L49" s="193"/>
      <c r="M49" s="141" t="s">
        <v>376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D2" s="132"/>
      <c r="E2" s="133"/>
      <c r="F2" s="134" t="s">
        <v>377</v>
      </c>
      <c r="K2" s="217"/>
      <c r="L2" s="217"/>
      <c r="M2" s="67"/>
      <c r="N2" s="67"/>
      <c r="O2" s="67"/>
      <c r="P2" s="67"/>
      <c r="Q2" s="67"/>
    </row>
    <row r="3">
      <c r="A3" s="67"/>
      <c r="B3" s="218" t="s">
        <v>84</v>
      </c>
      <c r="C3" s="219" t="s">
        <v>6</v>
      </c>
      <c r="D3" s="132"/>
      <c r="E3" s="135" t="s">
        <v>311</v>
      </c>
      <c r="F3" s="136" t="str">
        <f>'BC Pay-ins LatAm'!C3</f>
        <v>Mexico</v>
      </c>
      <c r="G3" s="136" t="str">
        <f>'BC Pay-ins LatAm'!D3</f>
        <v>Brazil</v>
      </c>
      <c r="H3" s="136" t="str">
        <f>'BC Pay-ins LatAm'!E3</f>
        <v>Argentina</v>
      </c>
      <c r="I3" s="136" t="str">
        <f>'BC Pay-ins LatAm'!F3</f>
        <v>Colombia</v>
      </c>
      <c r="J3" s="136" t="str">
        <f>'BC Pay-ins LatAm'!G3</f>
        <v>Peru</v>
      </c>
      <c r="K3" s="137" t="s">
        <v>378</v>
      </c>
      <c r="L3" s="137" t="s">
        <v>379</v>
      </c>
      <c r="M3" s="137" t="s">
        <v>380</v>
      </c>
      <c r="N3" s="67"/>
      <c r="O3" s="67"/>
      <c r="P3" s="67"/>
      <c r="Q3" s="67"/>
    </row>
    <row r="4">
      <c r="A4" s="67"/>
      <c r="B4" s="220" t="s">
        <v>267</v>
      </c>
      <c r="C4" s="221" t="str">
        <f>RESUMEN!$C$3</f>
        <v>Bumble</v>
      </c>
      <c r="D4" s="132"/>
      <c r="E4" s="222" t="s">
        <v>353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381</v>
      </c>
      <c r="Q4" s="67"/>
    </row>
    <row r="5">
      <c r="A5" s="67"/>
      <c r="B5" s="224" t="s">
        <v>28</v>
      </c>
      <c r="C5" s="225" t="str">
        <f>RESUMEN!$C$4</f>
        <v>Dating</v>
      </c>
      <c r="D5" s="132"/>
      <c r="E5" s="196" t="s">
        <v>361</v>
      </c>
      <c r="F5" s="226">
        <f>'BC Pay-ins LatAm'!C33</f>
        <v>0</v>
      </c>
      <c r="G5" s="226">
        <f>'BC Pay-ins LatAm'!D33</f>
        <v>0</v>
      </c>
      <c r="H5" s="226">
        <f>'BC Pay-ins LatAm'!E33</f>
        <v>0</v>
      </c>
      <c r="I5" s="226">
        <f>'BC Pay-ins LatAm'!F33</f>
        <v>0</v>
      </c>
      <c r="J5" s="226">
        <f>'BC Pay-ins LatAm'!G33</f>
        <v>0</v>
      </c>
      <c r="L5" s="227">
        <f t="shared" ref="L5:L6" si="1">SUM(F5:J5)</f>
        <v>0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363</v>
      </c>
      <c r="F6" s="226">
        <f>'BC Pay-ins LatAm'!C34</f>
        <v>5</v>
      </c>
      <c r="G6" s="226">
        <f>'BC Pay-ins LatAm'!D34</f>
        <v>5</v>
      </c>
      <c r="H6" s="226">
        <f>'BC Pay-ins LatAm'!E34</f>
        <v>3</v>
      </c>
      <c r="I6" s="226">
        <f>'BC Pay-ins LatAm'!F34</f>
        <v>4</v>
      </c>
      <c r="J6" s="226">
        <f>'BC Pay-ins LatAm'!G34</f>
        <v>0</v>
      </c>
      <c r="L6" s="228">
        <f t="shared" si="1"/>
        <v>17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382</v>
      </c>
      <c r="F7" s="229">
        <f t="shared" ref="F7:J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>
        <f t="shared" si="2"/>
        <v>3</v>
      </c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383</v>
      </c>
      <c r="F8" s="233">
        <f t="shared" ref="F8:J8" si="3">F7*F6</f>
        <v>15</v>
      </c>
      <c r="G8" s="233">
        <f t="shared" si="3"/>
        <v>15</v>
      </c>
      <c r="H8" s="233">
        <f t="shared" si="3"/>
        <v>9</v>
      </c>
      <c r="I8" s="233">
        <f t="shared" si="3"/>
        <v>12</v>
      </c>
      <c r="J8" s="233">
        <f t="shared" si="3"/>
        <v>0</v>
      </c>
      <c r="K8" s="234"/>
      <c r="L8" s="235">
        <f>SUM(F8:J8)</f>
        <v>51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384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1101600</v>
      </c>
      <c r="N9" s="241" t="s">
        <v>20</v>
      </c>
      <c r="P9" s="67"/>
    </row>
    <row r="10" outlineLevel="1">
      <c r="A10" s="67"/>
      <c r="B10" s="242" t="s">
        <v>385</v>
      </c>
      <c r="C10" s="242" t="s">
        <v>386</v>
      </c>
      <c r="D10" s="132"/>
      <c r="E10" s="243" t="s">
        <v>387</v>
      </c>
      <c r="F10" s="244" t="s">
        <v>388</v>
      </c>
      <c r="G10" s="244" t="s">
        <v>388</v>
      </c>
      <c r="H10" s="244" t="s">
        <v>388</v>
      </c>
      <c r="I10" s="244" t="s">
        <v>388</v>
      </c>
      <c r="J10" s="244" t="s">
        <v>388</v>
      </c>
      <c r="K10" s="245">
        <v>2250.0</v>
      </c>
      <c r="L10" s="245">
        <f>$K$10*$L$7</f>
        <v>6750</v>
      </c>
      <c r="M10" s="246">
        <f t="shared" ref="M10:M16" si="4">L10*$L$6</f>
        <v>114750</v>
      </c>
      <c r="N10" s="95"/>
    </row>
    <row r="11" outlineLevel="1">
      <c r="A11" s="67"/>
      <c r="B11" s="247" t="s">
        <v>389</v>
      </c>
      <c r="C11" s="248">
        <v>3.0</v>
      </c>
      <c r="D11" s="132"/>
      <c r="E11" s="243" t="s">
        <v>390</v>
      </c>
      <c r="F11" s="244" t="s">
        <v>388</v>
      </c>
      <c r="G11" s="244" t="s">
        <v>388</v>
      </c>
      <c r="H11" s="244" t="s">
        <v>388</v>
      </c>
      <c r="I11" s="244" t="s">
        <v>388</v>
      </c>
      <c r="J11" s="244" t="s">
        <v>388</v>
      </c>
      <c r="K11" s="245">
        <v>10500.0</v>
      </c>
      <c r="L11" s="245">
        <f>$K$11*$L$7</f>
        <v>31500</v>
      </c>
      <c r="M11" s="246">
        <f t="shared" si="4"/>
        <v>535500</v>
      </c>
      <c r="N11" s="95"/>
    </row>
    <row r="12" outlineLevel="1">
      <c r="A12" s="67"/>
      <c r="B12" s="116" t="s">
        <v>391</v>
      </c>
      <c r="C12" s="249">
        <v>4.0</v>
      </c>
      <c r="D12" s="132"/>
      <c r="E12" s="243" t="s">
        <v>392</v>
      </c>
      <c r="F12" s="244" t="s">
        <v>388</v>
      </c>
      <c r="G12" s="244" t="s">
        <v>388</v>
      </c>
      <c r="H12" s="244" t="s">
        <v>388</v>
      </c>
      <c r="I12" s="244" t="s">
        <v>388</v>
      </c>
      <c r="J12" s="244" t="s">
        <v>388</v>
      </c>
      <c r="K12" s="245">
        <v>2250.0</v>
      </c>
      <c r="L12" s="245">
        <f>$K$12*$L$7</f>
        <v>6750</v>
      </c>
      <c r="M12" s="246">
        <f t="shared" si="4"/>
        <v>114750</v>
      </c>
      <c r="N12" s="95"/>
    </row>
    <row r="13" outlineLevel="1">
      <c r="A13" s="67"/>
      <c r="B13" s="242"/>
      <c r="C13" s="250"/>
      <c r="D13" s="132"/>
      <c r="E13" s="243" t="s">
        <v>393</v>
      </c>
      <c r="F13" s="244" t="s">
        <v>388</v>
      </c>
      <c r="G13" s="244" t="s">
        <v>388</v>
      </c>
      <c r="H13" s="244" t="s">
        <v>388</v>
      </c>
      <c r="I13" s="244" t="s">
        <v>388</v>
      </c>
      <c r="J13" s="244" t="s">
        <v>388</v>
      </c>
      <c r="K13" s="245">
        <v>1350.0</v>
      </c>
      <c r="L13" s="245">
        <f>$K$13*$L$7</f>
        <v>4050</v>
      </c>
      <c r="M13" s="246">
        <f t="shared" si="4"/>
        <v>68850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394</v>
      </c>
      <c r="F14" s="244" t="s">
        <v>388</v>
      </c>
      <c r="G14" s="244" t="s">
        <v>388</v>
      </c>
      <c r="H14" s="244" t="s">
        <v>388</v>
      </c>
      <c r="I14" s="244" t="s">
        <v>388</v>
      </c>
      <c r="J14" s="244" t="s">
        <v>388</v>
      </c>
      <c r="K14" s="245">
        <v>1500.0</v>
      </c>
      <c r="L14" s="245">
        <f>$K$14*$L$7</f>
        <v>4500</v>
      </c>
      <c r="M14" s="246">
        <f t="shared" si="4"/>
        <v>76500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395</v>
      </c>
      <c r="F15" s="244" t="s">
        <v>388</v>
      </c>
      <c r="G15" s="244" t="s">
        <v>388</v>
      </c>
      <c r="H15" s="244" t="s">
        <v>388</v>
      </c>
      <c r="I15" s="244" t="s">
        <v>388</v>
      </c>
      <c r="J15" s="244" t="s">
        <v>388</v>
      </c>
      <c r="K15" s="245">
        <v>1125.0</v>
      </c>
      <c r="L15" s="245">
        <f>$K$15*$L$7</f>
        <v>3375</v>
      </c>
      <c r="M15" s="246">
        <f t="shared" si="4"/>
        <v>57375</v>
      </c>
      <c r="N15" s="95"/>
    </row>
    <row r="16" outlineLevel="1">
      <c r="A16" s="67"/>
      <c r="B16" s="108" t="s">
        <v>18</v>
      </c>
      <c r="C16" s="252" t="s">
        <v>396</v>
      </c>
      <c r="D16" s="132"/>
      <c r="E16" s="253" t="s">
        <v>397</v>
      </c>
      <c r="F16" s="244" t="s">
        <v>388</v>
      </c>
      <c r="G16" s="244" t="s">
        <v>388</v>
      </c>
      <c r="H16" s="244" t="s">
        <v>388</v>
      </c>
      <c r="I16" s="244" t="s">
        <v>388</v>
      </c>
      <c r="J16" s="244" t="s">
        <v>388</v>
      </c>
      <c r="K16" s="254">
        <v>2625.0</v>
      </c>
      <c r="L16" s="245">
        <f>$K$16*$L$7</f>
        <v>7875</v>
      </c>
      <c r="M16" s="255">
        <f t="shared" si="4"/>
        <v>133875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337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342</v>
      </c>
      <c r="F19" s="262" t="str">
        <f>'BC Pay-ins LatAm'!$C$23</f>
        <v>no</v>
      </c>
      <c r="G19" s="262" t="str">
        <f>'BC Pay-ins LatAm'!$D$23</f>
        <v>no</v>
      </c>
      <c r="H19" s="262" t="str">
        <f>'BC Pay-ins LatAm'!$E$23</f>
        <v>no</v>
      </c>
      <c r="I19" s="262" t="str">
        <f>'BC Pay-ins LatAm'!$F$23</f>
        <v>no</v>
      </c>
      <c r="J19" s="262" t="str">
        <f>'BC Pay-ins LatAm'!$G$23</f>
        <v>no</v>
      </c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398</v>
      </c>
      <c r="F20" s="264" t="str">
        <f t="shared" ref="F20:J20" si="5">if(F19="Yes","No","Yes")</f>
        <v>Yes</v>
      </c>
      <c r="G20" s="264" t="str">
        <f t="shared" si="5"/>
        <v>Yes</v>
      </c>
      <c r="H20" s="264" t="str">
        <f t="shared" si="5"/>
        <v>Yes</v>
      </c>
      <c r="I20" s="264" t="str">
        <f t="shared" si="5"/>
        <v>Yes</v>
      </c>
      <c r="J20" s="264" t="str">
        <f t="shared" si="5"/>
        <v>Yes</v>
      </c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399</v>
      </c>
      <c r="F21" s="265">
        <f t="shared" ref="F21:J21" si="6">if(F19="yes",1,2)</f>
        <v>2</v>
      </c>
      <c r="G21" s="265">
        <f t="shared" si="6"/>
        <v>2</v>
      </c>
      <c r="H21" s="265">
        <f t="shared" si="6"/>
        <v>2</v>
      </c>
      <c r="I21" s="265">
        <f t="shared" si="6"/>
        <v>2</v>
      </c>
      <c r="J21" s="265">
        <f t="shared" si="6"/>
        <v>2</v>
      </c>
      <c r="L21" s="263">
        <f>SUM(F21:J21)</f>
        <v>10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400</v>
      </c>
      <c r="F22" s="229">
        <f t="shared" ref="F22:J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>
        <f t="shared" si="7"/>
        <v>4</v>
      </c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383</v>
      </c>
      <c r="F23" s="233">
        <f t="shared" ref="F23:J23" si="8">F22*F21</f>
        <v>8</v>
      </c>
      <c r="G23" s="233">
        <f t="shared" si="8"/>
        <v>8</v>
      </c>
      <c r="H23" s="233">
        <f t="shared" si="8"/>
        <v>8</v>
      </c>
      <c r="I23" s="233">
        <f t="shared" si="8"/>
        <v>8</v>
      </c>
      <c r="J23" s="233">
        <f t="shared" si="8"/>
        <v>8</v>
      </c>
      <c r="K23" s="234"/>
      <c r="L23" s="266">
        <f>SUM(F23:J23)</f>
        <v>40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401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387</v>
      </c>
      <c r="F25" s="244" t="s">
        <v>388</v>
      </c>
      <c r="G25" s="244" t="s">
        <v>388</v>
      </c>
      <c r="H25" s="244" t="s">
        <v>388</v>
      </c>
      <c r="I25" s="244" t="s">
        <v>388</v>
      </c>
      <c r="J25" s="244" t="s">
        <v>388</v>
      </c>
      <c r="K25" s="269">
        <v>2250.0</v>
      </c>
      <c r="L25" s="269">
        <f>$K$25*$L$22</f>
        <v>9000</v>
      </c>
      <c r="M25" s="175">
        <f>$L$25*$L$21</f>
        <v>90000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390</v>
      </c>
      <c r="F26" s="244" t="s">
        <v>388</v>
      </c>
      <c r="G26" s="244" t="s">
        <v>388</v>
      </c>
      <c r="H26" s="244" t="s">
        <v>388</v>
      </c>
      <c r="I26" s="244" t="s">
        <v>388</v>
      </c>
      <c r="J26" s="244" t="s">
        <v>388</v>
      </c>
      <c r="K26" s="269">
        <v>10500.0</v>
      </c>
      <c r="L26" s="269">
        <f>$K$26*$L$22</f>
        <v>42000</v>
      </c>
      <c r="M26" s="175">
        <f>$L$26*$L$21</f>
        <v>420000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392</v>
      </c>
      <c r="F27" s="244" t="s">
        <v>388</v>
      </c>
      <c r="G27" s="244" t="s">
        <v>388</v>
      </c>
      <c r="H27" s="244" t="s">
        <v>388</v>
      </c>
      <c r="I27" s="244" t="s">
        <v>388</v>
      </c>
      <c r="J27" s="244" t="s">
        <v>388</v>
      </c>
      <c r="K27" s="269">
        <v>2250.0</v>
      </c>
      <c r="L27" s="269">
        <f>$K$27*$L$22</f>
        <v>9000</v>
      </c>
      <c r="M27" s="175">
        <f>$L$27*$L$21</f>
        <v>90000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393</v>
      </c>
      <c r="F28" s="244" t="s">
        <v>388</v>
      </c>
      <c r="G28" s="244" t="s">
        <v>388</v>
      </c>
      <c r="H28" s="244" t="s">
        <v>388</v>
      </c>
      <c r="I28" s="244" t="s">
        <v>388</v>
      </c>
      <c r="J28" s="244" t="s">
        <v>388</v>
      </c>
      <c r="K28" s="269">
        <v>1350.0</v>
      </c>
      <c r="L28" s="269">
        <f>$K$28*$L$22</f>
        <v>5400</v>
      </c>
      <c r="M28" s="175">
        <f>$L$28*$L$21</f>
        <v>54000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394</v>
      </c>
      <c r="F29" s="244" t="s">
        <v>388</v>
      </c>
      <c r="G29" s="244" t="s">
        <v>388</v>
      </c>
      <c r="H29" s="244" t="s">
        <v>388</v>
      </c>
      <c r="I29" s="244" t="s">
        <v>388</v>
      </c>
      <c r="J29" s="244" t="s">
        <v>388</v>
      </c>
      <c r="K29" s="269">
        <v>1500.0</v>
      </c>
      <c r="L29" s="269">
        <f>$K$29*$L$22</f>
        <v>6000</v>
      </c>
      <c r="M29" s="175">
        <f>$L$29*$L$21</f>
        <v>60000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395</v>
      </c>
      <c r="F30" s="244" t="s">
        <v>388</v>
      </c>
      <c r="G30" s="244" t="s">
        <v>388</v>
      </c>
      <c r="H30" s="244" t="s">
        <v>388</v>
      </c>
      <c r="I30" s="244" t="s">
        <v>388</v>
      </c>
      <c r="J30" s="244" t="s">
        <v>388</v>
      </c>
      <c r="K30" s="269">
        <v>1125.0</v>
      </c>
      <c r="L30" s="269">
        <f>$K$30*$L$22</f>
        <v>4500</v>
      </c>
      <c r="M30" s="175">
        <f>$L$30*$L$21</f>
        <v>45000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397</v>
      </c>
      <c r="F31" s="270" t="s">
        <v>388</v>
      </c>
      <c r="G31" s="270" t="s">
        <v>388</v>
      </c>
      <c r="H31" s="270" t="s">
        <v>388</v>
      </c>
      <c r="I31" s="270" t="s">
        <v>388</v>
      </c>
      <c r="J31" s="270" t="s">
        <v>388</v>
      </c>
      <c r="K31" s="271">
        <v>2625.0</v>
      </c>
      <c r="L31" s="269">
        <f>$K$31*$L$22</f>
        <v>10500</v>
      </c>
      <c r="M31" s="175">
        <f>$L$31*$L$21</f>
        <v>105000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402</v>
      </c>
      <c r="F33" s="273" t="s">
        <v>353</v>
      </c>
      <c r="G33" s="273" t="s">
        <v>403</v>
      </c>
      <c r="H33" s="274" t="s">
        <v>404</v>
      </c>
      <c r="J33" s="272" t="s">
        <v>405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387</v>
      </c>
      <c r="F34" s="269">
        <f t="shared" ref="F34:F40" si="9">M10</f>
        <v>114750</v>
      </c>
      <c r="G34" s="269">
        <f t="shared" ref="G34:G40" si="10">M25</f>
        <v>90000</v>
      </c>
      <c r="H34" s="275">
        <f t="shared" ref="H34:H40" si="11">SUM(F34:G34)</f>
        <v>204750</v>
      </c>
      <c r="I34" s="276" t="s">
        <v>20</v>
      </c>
      <c r="J34" s="169" t="s">
        <v>386</v>
      </c>
      <c r="K34" s="277">
        <f>($L$6*$L$7)+($L$21*$L$22)</f>
        <v>91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390</v>
      </c>
      <c r="F35" s="269">
        <f t="shared" si="9"/>
        <v>535500</v>
      </c>
      <c r="G35" s="269">
        <f t="shared" si="10"/>
        <v>420000</v>
      </c>
      <c r="H35" s="275">
        <f t="shared" si="11"/>
        <v>955500</v>
      </c>
      <c r="I35" s="276" t="s">
        <v>20</v>
      </c>
      <c r="J35" s="169" t="s">
        <v>406</v>
      </c>
      <c r="K35" s="279">
        <f>round(K34/12,0)</f>
        <v>8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392</v>
      </c>
      <c r="F36" s="269">
        <f t="shared" si="9"/>
        <v>114750</v>
      </c>
      <c r="G36" s="269">
        <f t="shared" si="10"/>
        <v>90000</v>
      </c>
      <c r="H36" s="275">
        <f t="shared" si="11"/>
        <v>204750</v>
      </c>
      <c r="I36" s="276" t="s">
        <v>20</v>
      </c>
      <c r="J36" s="280" t="s">
        <v>407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393</v>
      </c>
      <c r="F37" s="269">
        <f t="shared" si="9"/>
        <v>68850</v>
      </c>
      <c r="G37" s="269">
        <f t="shared" si="10"/>
        <v>54000</v>
      </c>
      <c r="H37" s="275">
        <f t="shared" si="11"/>
        <v>122850</v>
      </c>
      <c r="I37" s="276" t="s">
        <v>20</v>
      </c>
      <c r="J37" s="169" t="s">
        <v>386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394</v>
      </c>
      <c r="F38" s="269">
        <f t="shared" si="9"/>
        <v>76500</v>
      </c>
      <c r="G38" s="269">
        <f t="shared" si="10"/>
        <v>60000</v>
      </c>
      <c r="H38" s="275">
        <f t="shared" si="11"/>
        <v>136500</v>
      </c>
      <c r="I38" s="276" t="s">
        <v>20</v>
      </c>
      <c r="J38" s="281" t="s">
        <v>408</v>
      </c>
      <c r="K38" s="282">
        <f>K34-K37</f>
        <v>89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395</v>
      </c>
      <c r="F39" s="269">
        <f t="shared" si="9"/>
        <v>57375</v>
      </c>
      <c r="G39" s="269">
        <f t="shared" si="10"/>
        <v>45000</v>
      </c>
      <c r="H39" s="275">
        <f t="shared" si="11"/>
        <v>102375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397</v>
      </c>
      <c r="F40" s="269">
        <f t="shared" si="9"/>
        <v>133875</v>
      </c>
      <c r="G40" s="269">
        <f t="shared" si="10"/>
        <v>105000</v>
      </c>
      <c r="H40" s="275">
        <f t="shared" si="11"/>
        <v>238875</v>
      </c>
      <c r="I40" s="276" t="s">
        <v>20</v>
      </c>
      <c r="J40" s="283" t="s">
        <v>409</v>
      </c>
      <c r="K40" s="284">
        <f>K38</f>
        <v>89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402</v>
      </c>
      <c r="F41" s="273">
        <f t="shared" ref="F41:G41" si="12">SUM(F34:F40)</f>
        <v>1101600</v>
      </c>
      <c r="G41" s="273">
        <f t="shared" si="12"/>
        <v>864000</v>
      </c>
      <c r="H41" s="285">
        <f>SUM(H34:H40)/1000000</f>
        <v>1.9656</v>
      </c>
      <c r="I41" s="276" t="s">
        <v>20</v>
      </c>
      <c r="J41" s="283" t="s">
        <v>410</v>
      </c>
      <c r="K41" s="277" t="str">
        <f>CONCATENATE(ROUNDUP(K42,2)," ","years")</f>
        <v>7.42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7.416666667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411</v>
      </c>
      <c r="D3" s="136" t="s">
        <v>412</v>
      </c>
      <c r="E3" s="136"/>
      <c r="F3" s="136"/>
      <c r="G3" s="136"/>
      <c r="H3" s="137" t="s">
        <v>317</v>
      </c>
      <c r="I3" s="130"/>
      <c r="J3" s="137" t="s">
        <v>318</v>
      </c>
      <c r="K3" s="137" t="s">
        <v>318</v>
      </c>
      <c r="L3" s="130"/>
      <c r="M3" s="138" t="s">
        <v>319</v>
      </c>
      <c r="N3" s="67"/>
      <c r="O3" s="67"/>
    </row>
    <row r="4">
      <c r="A4" s="132"/>
      <c r="B4" s="116" t="s">
        <v>320</v>
      </c>
      <c r="C4" s="139">
        <v>0.2284</v>
      </c>
      <c r="D4" s="139">
        <v>0.0332</v>
      </c>
      <c r="E4" s="139"/>
      <c r="F4" s="139"/>
      <c r="G4" s="139"/>
      <c r="H4" s="287">
        <f>SUM(C4:G4)</f>
        <v>0.2616</v>
      </c>
      <c r="I4" s="130"/>
      <c r="J4" s="130"/>
      <c r="K4" s="141"/>
      <c r="L4" s="130"/>
      <c r="M4" s="141" t="s">
        <v>321</v>
      </c>
      <c r="N4" s="67"/>
      <c r="O4" s="67"/>
    </row>
    <row r="5">
      <c r="A5" s="132"/>
      <c r="B5" s="142" t="s">
        <v>322</v>
      </c>
      <c r="C5" s="143">
        <f>C4*RESUMEN!$C$13</f>
        <v>137040000</v>
      </c>
      <c r="D5" s="143">
        <f>D4*RESUMEN!$C$13</f>
        <v>19920000</v>
      </c>
      <c r="E5" s="143"/>
      <c r="F5" s="143"/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323</v>
      </c>
      <c r="C6" s="146">
        <v>0.1</v>
      </c>
      <c r="D6" s="146">
        <v>0.1</v>
      </c>
      <c r="E6" s="146"/>
      <c r="F6" s="146"/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324</v>
      </c>
      <c r="C7" s="148">
        <f>VLOOKUP(RESUMEN!$C$4,'Aceptance Rate Delta per Indust'!$B$3:$K$40,9,false)</f>
        <v>0.1</v>
      </c>
      <c r="D7" s="148">
        <f>VLOOKUP(RESUMEN!$C$4,'Aceptance Rate Delta per Indust'!$B$3:$K$40,9,false)</f>
        <v>0.1</v>
      </c>
      <c r="E7" s="148"/>
      <c r="F7" s="148"/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325</v>
      </c>
      <c r="C8" s="150">
        <f>VLOOKUP(RESUMEN!$C$4,'Aceptance Rate Delta per Indust'!$B$3:$K$40,10,false)</f>
        <v>0.7</v>
      </c>
      <c r="D8" s="150">
        <f>VLOOKUP(RESUMEN!$C$4,'Aceptance Rate Delta per Indust'!$B$3:$K$40,10,false)</f>
        <v>0.7</v>
      </c>
      <c r="E8" s="150"/>
      <c r="F8" s="150"/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326</v>
      </c>
      <c r="C9" s="143">
        <f t="shared" ref="C9:D9" si="1">(ROUND(C5*C6,0))</f>
        <v>13704000</v>
      </c>
      <c r="D9" s="143">
        <f t="shared" si="1"/>
        <v>1992000</v>
      </c>
      <c r="E9" s="143"/>
      <c r="F9" s="143"/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327</v>
      </c>
      <c r="C10" s="151">
        <v>25.0</v>
      </c>
      <c r="D10" s="151">
        <v>23.0</v>
      </c>
      <c r="E10" s="151"/>
      <c r="F10" s="151"/>
      <c r="G10" s="151"/>
      <c r="H10" s="95"/>
      <c r="I10" s="152"/>
      <c r="J10" s="152"/>
      <c r="K10" s="152"/>
      <c r="L10" s="152"/>
      <c r="M10" s="152" t="s">
        <v>328</v>
      </c>
      <c r="N10" s="67"/>
      <c r="O10" s="67"/>
    </row>
    <row r="11" outlineLevel="1">
      <c r="A11" s="132"/>
      <c r="B11" s="153" t="s">
        <v>329</v>
      </c>
      <c r="C11" s="154">
        <f>(RESUMEN!$C$13*C4*C6*C10)/1000000</f>
        <v>342.6</v>
      </c>
      <c r="D11" s="154">
        <f>(RESUMEN!$C$13*D4*D6*D10)/1000000</f>
        <v>45.816</v>
      </c>
      <c r="E11" s="154"/>
      <c r="F11" s="154"/>
      <c r="G11" s="154"/>
      <c r="H11" s="288">
        <f>SUM(C11:G11)</f>
        <v>388.416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330</v>
      </c>
      <c r="C12" s="156">
        <v>0.95</v>
      </c>
      <c r="D12" s="156">
        <v>0.95</v>
      </c>
      <c r="E12" s="156"/>
      <c r="F12" s="156"/>
      <c r="G12" s="156"/>
      <c r="H12" s="95"/>
      <c r="K12" s="152"/>
      <c r="M12" s="152" t="s">
        <v>331</v>
      </c>
      <c r="N12" s="67"/>
      <c r="O12" s="67"/>
    </row>
    <row r="13">
      <c r="A13" s="132"/>
      <c r="B13" s="153" t="s">
        <v>332</v>
      </c>
      <c r="C13" s="157">
        <f t="shared" ref="C13:D13" si="2">(C12*C11)</f>
        <v>325.47</v>
      </c>
      <c r="D13" s="157">
        <f t="shared" si="2"/>
        <v>43.5252</v>
      </c>
      <c r="E13" s="157"/>
      <c r="F13" s="157"/>
      <c r="G13" s="157"/>
      <c r="H13" s="158">
        <f>SUM(C13:G13)</f>
        <v>368.9952</v>
      </c>
      <c r="K13" s="152"/>
      <c r="M13" s="152" t="s">
        <v>333</v>
      </c>
      <c r="N13" s="95"/>
      <c r="O13" s="95"/>
    </row>
    <row r="14">
      <c r="A14" s="132"/>
      <c r="B14" s="133" t="s">
        <v>334</v>
      </c>
      <c r="C14" s="159">
        <f t="shared" ref="C14:D14" si="3">1-C12</f>
        <v>0.05</v>
      </c>
      <c r="D14" s="159">
        <f t="shared" si="3"/>
        <v>0.05</v>
      </c>
      <c r="E14" s="159"/>
      <c r="F14" s="159"/>
      <c r="G14" s="159"/>
      <c r="H14" s="95"/>
      <c r="K14" s="152"/>
      <c r="M14" s="152" t="s">
        <v>335</v>
      </c>
      <c r="N14" s="95"/>
      <c r="O14" s="95"/>
    </row>
    <row r="15">
      <c r="A15" s="132"/>
      <c r="B15" s="160" t="s">
        <v>336</v>
      </c>
      <c r="C15" s="161">
        <f t="shared" ref="C15:D15" si="4">C14*C11</f>
        <v>17.13</v>
      </c>
      <c r="D15" s="161">
        <f t="shared" si="4"/>
        <v>2.2908</v>
      </c>
      <c r="E15" s="161"/>
      <c r="F15" s="161"/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337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338</v>
      </c>
      <c r="C18" s="166">
        <v>0.03</v>
      </c>
      <c r="D18" s="166">
        <v>0.035</v>
      </c>
      <c r="E18" s="166"/>
      <c r="F18" s="166"/>
      <c r="G18" s="166"/>
      <c r="H18" s="289" t="s">
        <v>20</v>
      </c>
      <c r="K18" s="168"/>
      <c r="M18" s="168"/>
      <c r="N18" s="95"/>
      <c r="O18" s="95"/>
    </row>
    <row r="19">
      <c r="A19" s="132"/>
      <c r="B19" s="169" t="s">
        <v>339</v>
      </c>
      <c r="C19" s="170">
        <f t="shared" ref="C19:D19" si="5">C13*C18</f>
        <v>9.7641</v>
      </c>
      <c r="D19" s="170">
        <f t="shared" si="5"/>
        <v>1.523382</v>
      </c>
      <c r="E19" s="170"/>
      <c r="F19" s="170"/>
      <c r="G19" s="170"/>
      <c r="H19" s="290">
        <f t="shared" ref="H19:H20" si="6">SUM(C19:G19)</f>
        <v>11.287482</v>
      </c>
      <c r="J19" s="171">
        <f t="shared" ref="J19:J20" si="7">rounddown(H19-1,0)</f>
        <v>10</v>
      </c>
      <c r="K19" s="171">
        <f t="shared" ref="K19:K20" si="8">ROUNDUP(H19-1,0)+1</f>
        <v>12</v>
      </c>
      <c r="M19" s="152" t="s">
        <v>333</v>
      </c>
      <c r="N19" s="95"/>
      <c r="O19" s="95"/>
    </row>
    <row r="20">
      <c r="A20" s="132"/>
      <c r="B20" s="172" t="s">
        <v>340</v>
      </c>
      <c r="C20" s="173">
        <f>C19*RESUMEN!$C$15</f>
        <v>5.85846</v>
      </c>
      <c r="D20" s="173">
        <f>D19*RESUMEN!$C$15</f>
        <v>0.9140292</v>
      </c>
      <c r="E20" s="173"/>
      <c r="F20" s="173"/>
      <c r="G20" s="173"/>
      <c r="H20" s="290">
        <f t="shared" si="6"/>
        <v>6.7724892</v>
      </c>
      <c r="J20" s="171">
        <f t="shared" si="7"/>
        <v>5</v>
      </c>
      <c r="K20" s="171">
        <f t="shared" si="8"/>
        <v>7</v>
      </c>
      <c r="M20" s="152" t="s">
        <v>333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291"/>
      <c r="K21" s="130"/>
      <c r="M21" s="130"/>
      <c r="N21" s="95"/>
      <c r="O21" s="95"/>
    </row>
    <row r="22">
      <c r="A22" s="132"/>
      <c r="B22" s="176" t="s">
        <v>341</v>
      </c>
      <c r="C22" s="177">
        <f t="shared" ref="C22:D22" si="9">C$11*C12+C19</f>
        <v>335.2341</v>
      </c>
      <c r="D22" s="177">
        <f t="shared" si="9"/>
        <v>45.048582</v>
      </c>
      <c r="E22" s="177"/>
      <c r="F22" s="177"/>
      <c r="G22" s="177"/>
      <c r="H22" s="292"/>
      <c r="K22" s="130"/>
      <c r="M22" s="130"/>
      <c r="N22" s="95"/>
      <c r="O22" s="95"/>
    </row>
    <row r="23">
      <c r="A23" s="132"/>
      <c r="B23" s="178" t="s">
        <v>342</v>
      </c>
      <c r="C23" s="179" t="s">
        <v>413</v>
      </c>
      <c r="D23" s="180" t="s">
        <v>413</v>
      </c>
      <c r="E23" s="180"/>
      <c r="F23" s="180"/>
      <c r="G23" s="180"/>
      <c r="H23" s="292"/>
      <c r="K23" s="152"/>
      <c r="M23" s="152" t="s">
        <v>344</v>
      </c>
      <c r="N23" s="67"/>
      <c r="O23" s="67"/>
    </row>
    <row r="24">
      <c r="A24" s="132"/>
      <c r="B24" s="181" t="s">
        <v>345</v>
      </c>
      <c r="C24" s="148">
        <f>if(C23="Yes",VLOOKUP(RESUMEN!$C$4,'Aceptance Rate Delta per Indust'!$B$3:$G$40,5,FALSE),VLOOKUP(RESUMEN!$C$4,'Aceptance Rate Delta per Indust'!$B$3:$G$40,6,FALSE))</f>
        <v>0.028</v>
      </c>
      <c r="D24" s="148">
        <f>if(D23="Yes",VLOOKUP(RESUMEN!$C$4,'Aceptance Rate Delta per Indust'!$B$3:$G$40,5,FALSE),VLOOKUP(RESUMEN!$C$4,'Aceptance Rate Delta per Indust'!$B$3:$G$40,6,FALSE))</f>
        <v>0.028</v>
      </c>
      <c r="E24" s="148"/>
      <c r="F24" s="148"/>
      <c r="G24" s="148"/>
      <c r="H24" s="292"/>
      <c r="I24" s="130"/>
      <c r="J24" s="130"/>
      <c r="K24" s="141"/>
      <c r="L24" s="130"/>
      <c r="M24" s="141" t="s">
        <v>346</v>
      </c>
      <c r="N24" s="67"/>
      <c r="O24" s="67"/>
    </row>
    <row r="25">
      <c r="A25" s="127"/>
      <c r="B25" s="182" t="s">
        <v>347</v>
      </c>
      <c r="C25" s="183">
        <f t="shared" ref="C25:D25" si="10">IFS(C23="Yes",-0.2%,C23="No",-1%)</f>
        <v>-0.002</v>
      </c>
      <c r="D25" s="183">
        <f t="shared" si="10"/>
        <v>-0.002</v>
      </c>
      <c r="E25" s="183"/>
      <c r="F25" s="183"/>
      <c r="G25" s="183"/>
      <c r="H25" s="292"/>
      <c r="I25" s="130"/>
      <c r="J25" s="130"/>
      <c r="K25" s="141"/>
      <c r="L25" s="130"/>
      <c r="M25" s="141" t="s">
        <v>348</v>
      </c>
      <c r="N25" s="67"/>
      <c r="O25" s="67"/>
    </row>
    <row r="26">
      <c r="A26" s="127"/>
      <c r="B26" s="184" t="s">
        <v>349</v>
      </c>
      <c r="C26" s="185">
        <f t="shared" ref="C26:D26" si="11">C24+C25</f>
        <v>0.026</v>
      </c>
      <c r="D26" s="185">
        <f t="shared" si="11"/>
        <v>0.026</v>
      </c>
      <c r="E26" s="293"/>
      <c r="F26" s="293"/>
      <c r="G26" s="293"/>
      <c r="H26" s="292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350</v>
      </c>
      <c r="C27" s="187">
        <f t="shared" ref="C27:D27" si="12">C25*C22*-1</f>
        <v>0.6704682</v>
      </c>
      <c r="D27" s="187">
        <f t="shared" si="12"/>
        <v>0.090097164</v>
      </c>
      <c r="E27" s="188"/>
      <c r="F27" s="187"/>
      <c r="G27" s="187"/>
      <c r="H27" s="294">
        <f>SUM(C27:G27)</f>
        <v>0.760565364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333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351</v>
      </c>
      <c r="C29" s="190">
        <f t="shared" ref="C29:D29" si="13">C27+C20</f>
        <v>6.5289282</v>
      </c>
      <c r="D29" s="190">
        <f t="shared" si="13"/>
        <v>1.004126364</v>
      </c>
      <c r="E29" s="295"/>
      <c r="F29" s="295"/>
      <c r="G29" s="295"/>
      <c r="H29" s="296">
        <f>SUM(C29:G29)</f>
        <v>7.533054564</v>
      </c>
      <c r="I29" s="168"/>
      <c r="J29" s="168" t="s">
        <v>20</v>
      </c>
      <c r="K29" s="141"/>
      <c r="L29" s="168"/>
      <c r="M29" s="141" t="s">
        <v>352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353</v>
      </c>
      <c r="C31" s="194" t="s">
        <v>414</v>
      </c>
      <c r="D31" s="194" t="s">
        <v>415</v>
      </c>
      <c r="E31" s="194"/>
      <c r="F31" s="194"/>
      <c r="G31" s="194"/>
      <c r="H31" s="175"/>
      <c r="I31" s="195"/>
      <c r="J31" s="195"/>
      <c r="K31" s="141"/>
      <c r="L31" s="195"/>
      <c r="M31" s="141" t="s">
        <v>359</v>
      </c>
      <c r="N31" s="67"/>
      <c r="O31" s="67"/>
    </row>
    <row r="32">
      <c r="A32" s="127"/>
      <c r="B32" s="176" t="s">
        <v>360</v>
      </c>
      <c r="C32" s="177">
        <f t="shared" ref="C32:D32" si="14">C11*C14</f>
        <v>17.13</v>
      </c>
      <c r="D32" s="177">
        <f t="shared" si="14"/>
        <v>2.2908</v>
      </c>
      <c r="E32" s="177"/>
      <c r="F32" s="177"/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361</v>
      </c>
      <c r="C33" s="179">
        <v>1.0</v>
      </c>
      <c r="D33" s="179">
        <v>3.0</v>
      </c>
      <c r="E33" s="179"/>
      <c r="F33" s="179"/>
      <c r="G33" s="179"/>
      <c r="H33" s="175"/>
      <c r="I33" s="193"/>
      <c r="J33" s="193"/>
      <c r="K33" s="141"/>
      <c r="L33" s="193"/>
      <c r="M33" s="141" t="s">
        <v>362</v>
      </c>
      <c r="N33" s="67"/>
      <c r="O33" s="67"/>
    </row>
    <row r="34">
      <c r="A34" s="70" t="s">
        <v>416</v>
      </c>
      <c r="B34" s="197" t="s">
        <v>363</v>
      </c>
      <c r="C34" s="198">
        <v>4.0</v>
      </c>
      <c r="D34" s="198">
        <v>3.0</v>
      </c>
      <c r="E34" s="198"/>
      <c r="F34" s="198"/>
      <c r="G34" s="198"/>
      <c r="H34" s="175"/>
      <c r="I34" s="193"/>
      <c r="J34" s="193"/>
      <c r="K34" s="141"/>
      <c r="L34" s="193"/>
      <c r="M34" s="141" t="s">
        <v>364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416</v>
      </c>
      <c r="B36" s="197" t="s">
        <v>365</v>
      </c>
      <c r="C36" s="200">
        <v>0.07</v>
      </c>
      <c r="D36" s="200">
        <v>0.07</v>
      </c>
      <c r="E36" s="200"/>
      <c r="F36" s="200"/>
      <c r="G36" s="200"/>
      <c r="I36" s="193"/>
      <c r="J36" s="193"/>
      <c r="K36" s="141"/>
      <c r="L36" s="193"/>
      <c r="M36" s="141" t="s">
        <v>366</v>
      </c>
      <c r="N36" s="67"/>
      <c r="O36" s="67"/>
    </row>
    <row r="37">
      <c r="A37" s="127"/>
      <c r="B37" s="201" t="s">
        <v>367</v>
      </c>
      <c r="C37" s="202">
        <f t="shared" ref="C37:D37" si="15">((1+C35)+(1+C36)-1)*C11-C11</f>
        <v>23.982</v>
      </c>
      <c r="D37" s="202">
        <f t="shared" si="15"/>
        <v>3.20712</v>
      </c>
      <c r="E37" s="202"/>
      <c r="F37" s="202"/>
      <c r="G37" s="202"/>
      <c r="H37" s="202">
        <f>SUM(C37:G37)</f>
        <v>27.18912</v>
      </c>
      <c r="I37" s="130"/>
      <c r="J37" s="171">
        <f>rounddown(H37-1,0)</f>
        <v>26</v>
      </c>
      <c r="K37" s="171">
        <f>ROUNDUP(H37-1,0)+1</f>
        <v>28</v>
      </c>
      <c r="L37" s="130"/>
      <c r="M37" s="152" t="s">
        <v>333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368</v>
      </c>
      <c r="C39" s="205">
        <f>C37*RESUMEN!$C$15</f>
        <v>14.3892</v>
      </c>
      <c r="D39" s="205">
        <f>D37*RESUMEN!$C$15</f>
        <v>1.924272</v>
      </c>
      <c r="E39" s="205"/>
      <c r="F39" s="205"/>
      <c r="G39" s="205"/>
      <c r="H39" s="202">
        <f>SUM(C39:G39)</f>
        <v>16.313472</v>
      </c>
      <c r="I39" s="189"/>
      <c r="J39" s="171">
        <f>rounddown(H39-1,0)</f>
        <v>15</v>
      </c>
      <c r="K39" s="171">
        <f>ROUNDUP(H39-1,0)+1</f>
        <v>17</v>
      </c>
      <c r="L39" s="189"/>
      <c r="M39" s="152" t="s">
        <v>333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369</v>
      </c>
      <c r="C41" s="206">
        <v>0.02</v>
      </c>
      <c r="D41" s="206">
        <v>0.03</v>
      </c>
      <c r="E41" s="206"/>
      <c r="F41" s="206"/>
      <c r="G41" s="206"/>
      <c r="H41" s="175"/>
      <c r="I41" s="193"/>
      <c r="J41" s="193"/>
      <c r="K41" s="141"/>
      <c r="L41" s="193"/>
      <c r="M41" s="141" t="s">
        <v>370</v>
      </c>
      <c r="N41" s="67"/>
      <c r="O41" s="67"/>
    </row>
    <row r="42">
      <c r="A42" s="127"/>
      <c r="B42" s="207" t="s">
        <v>371</v>
      </c>
      <c r="C42" s="208">
        <f t="shared" ref="C42:D42" si="16">C41*C11</f>
        <v>6.852</v>
      </c>
      <c r="D42" s="208">
        <f t="shared" si="16"/>
        <v>1.37448</v>
      </c>
      <c r="E42" s="208"/>
      <c r="F42" s="208"/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372</v>
      </c>
      <c r="C44" s="209">
        <f t="shared" ref="C44:D44" si="17">C24</f>
        <v>0.028</v>
      </c>
      <c r="D44" s="209">
        <f t="shared" si="17"/>
        <v>0.028</v>
      </c>
      <c r="E44" s="297"/>
      <c r="F44" s="297"/>
      <c r="G44" s="297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373</v>
      </c>
      <c r="C45" s="211">
        <v>0.012</v>
      </c>
      <c r="D45" s="211">
        <v>0.012</v>
      </c>
      <c r="E45" s="211"/>
      <c r="F45" s="211"/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374</v>
      </c>
      <c r="C47" s="202">
        <f t="shared" ref="C47:D47" si="18">(C42+C37)*(C44-C45)</f>
        <v>0.493344</v>
      </c>
      <c r="D47" s="202">
        <f t="shared" si="18"/>
        <v>0.0733056</v>
      </c>
      <c r="E47" s="202"/>
      <c r="F47" s="202"/>
      <c r="G47" s="202"/>
      <c r="H47" s="202">
        <f>SUM(C47:G47)</f>
        <v>0.5666496</v>
      </c>
      <c r="I47" s="189"/>
      <c r="J47" s="212">
        <f>if(H47&gt;1,ROUNDUP(H47-1,0),H47)</f>
        <v>0.5666496</v>
      </c>
      <c r="K47" s="212">
        <f>if(H47&gt;1,ROUNDUP(H47-1,0),H47)+2</f>
        <v>2.5666496</v>
      </c>
      <c r="L47" s="189"/>
      <c r="M47" s="152" t="s">
        <v>333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375</v>
      </c>
      <c r="C49" s="213">
        <f t="shared" ref="C49:D49" si="19">C47+C39</f>
        <v>14.882544</v>
      </c>
      <c r="D49" s="213">
        <f t="shared" si="19"/>
        <v>1.9975776</v>
      </c>
      <c r="E49" s="298"/>
      <c r="F49" s="298"/>
      <c r="G49" s="298"/>
      <c r="H49" s="214">
        <f>SUM(C49:G49)</f>
        <v>16.8801216</v>
      </c>
      <c r="I49" s="193"/>
      <c r="J49" s="193"/>
      <c r="K49" s="141"/>
      <c r="L49" s="193"/>
      <c r="M49" s="141" t="s">
        <v>376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417</v>
      </c>
      <c r="D2" s="132"/>
      <c r="E2" s="133"/>
      <c r="F2" s="134" t="s">
        <v>377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 BC Pay-ins NA'!C3</f>
        <v>United States</v>
      </c>
      <c r="G3" s="299" t="str">
        <f>' BC Pay-ins NA'!D3</f>
        <v>Canada</v>
      </c>
      <c r="H3" s="299" t="str">
        <f>' BC Pay-ins NA'!E3</f>
        <v/>
      </c>
      <c r="I3" s="299" t="str">
        <f>' BC Pay-ins NA'!F3</f>
        <v/>
      </c>
      <c r="J3" s="299" t="str">
        <f>' BC Pay-ins NA'!G3</f>
        <v/>
      </c>
      <c r="K3" s="137" t="s">
        <v>378</v>
      </c>
      <c r="L3" s="137" t="s">
        <v>379</v>
      </c>
      <c r="M3" s="137" t="s">
        <v>380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353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418</v>
      </c>
      <c r="Q4" s="67"/>
    </row>
    <row r="5">
      <c r="A5" s="67"/>
      <c r="B5" s="224" t="s">
        <v>28</v>
      </c>
      <c r="C5" s="225" t="s">
        <v>64</v>
      </c>
      <c r="D5" s="132"/>
      <c r="E5" s="196" t="s">
        <v>361</v>
      </c>
      <c r="F5" s="226">
        <f>' BC Pay-ins NA'!C33</f>
        <v>1</v>
      </c>
      <c r="G5" s="226">
        <f>' BC Pay-ins NA'!D33</f>
        <v>3</v>
      </c>
      <c r="H5" s="226"/>
      <c r="I5" s="226"/>
      <c r="J5" s="226"/>
      <c r="L5" s="227">
        <f t="shared" ref="L5:L6" si="1">SUM(F5:J5)</f>
        <v>4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363</v>
      </c>
      <c r="F6" s="226">
        <f>' BC Pay-ins NA'!C34</f>
        <v>4</v>
      </c>
      <c r="G6" s="226">
        <f>' BC Pay-ins NA'!D34</f>
        <v>3</v>
      </c>
      <c r="H6" s="226"/>
      <c r="I6" s="226"/>
      <c r="J6" s="226"/>
      <c r="L6" s="228">
        <f t="shared" si="1"/>
        <v>7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382</v>
      </c>
      <c r="F7" s="229">
        <f t="shared" ref="F7:G7" si="2">$C$11</f>
        <v>3</v>
      </c>
      <c r="G7" s="229">
        <f t="shared" si="2"/>
        <v>3</v>
      </c>
      <c r="H7" s="229"/>
      <c r="I7" s="229"/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383</v>
      </c>
      <c r="F8" s="233">
        <f t="shared" ref="F8:G8" si="3">F7*F6</f>
        <v>12</v>
      </c>
      <c r="G8" s="233">
        <f t="shared" si="3"/>
        <v>9</v>
      </c>
      <c r="H8" s="233"/>
      <c r="I8" s="233"/>
      <c r="J8" s="233"/>
      <c r="K8" s="234"/>
      <c r="L8" s="235">
        <f>SUM(F8:J8)</f>
        <v>21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384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453600</v>
      </c>
      <c r="N9" s="241" t="s">
        <v>20</v>
      </c>
      <c r="P9" s="67"/>
    </row>
    <row r="10" outlineLevel="1">
      <c r="A10" s="67"/>
      <c r="B10" s="242" t="s">
        <v>385</v>
      </c>
      <c r="C10" s="242" t="s">
        <v>386</v>
      </c>
      <c r="D10" s="132"/>
      <c r="E10" s="243" t="s">
        <v>387</v>
      </c>
      <c r="F10" s="244" t="s">
        <v>388</v>
      </c>
      <c r="G10" s="244" t="s">
        <v>388</v>
      </c>
      <c r="H10" s="244"/>
      <c r="I10" s="244"/>
      <c r="J10" s="244"/>
      <c r="K10" s="245">
        <v>2250.0</v>
      </c>
      <c r="L10" s="245">
        <f>$K$10*$L$7</f>
        <v>6750</v>
      </c>
      <c r="M10" s="246">
        <f t="shared" ref="M10:M16" si="4">L10*$L$6</f>
        <v>47250</v>
      </c>
      <c r="N10" s="95"/>
    </row>
    <row r="11" outlineLevel="1">
      <c r="A11" s="67"/>
      <c r="B11" s="247" t="s">
        <v>419</v>
      </c>
      <c r="C11" s="248">
        <v>3.0</v>
      </c>
      <c r="D11" s="132"/>
      <c r="E11" s="243" t="s">
        <v>390</v>
      </c>
      <c r="F11" s="244" t="s">
        <v>388</v>
      </c>
      <c r="G11" s="244" t="s">
        <v>388</v>
      </c>
      <c r="H11" s="244"/>
      <c r="I11" s="244"/>
      <c r="J11" s="244"/>
      <c r="K11" s="245">
        <v>10500.0</v>
      </c>
      <c r="L11" s="245">
        <f>$K$11*$L$7</f>
        <v>31500</v>
      </c>
      <c r="M11" s="246">
        <f t="shared" si="4"/>
        <v>220500</v>
      </c>
      <c r="N11" s="95"/>
    </row>
    <row r="12" outlineLevel="1">
      <c r="A12" s="67"/>
      <c r="B12" s="116" t="s">
        <v>391</v>
      </c>
      <c r="C12" s="249">
        <v>4.0</v>
      </c>
      <c r="D12" s="132"/>
      <c r="E12" s="243" t="s">
        <v>392</v>
      </c>
      <c r="F12" s="244" t="s">
        <v>388</v>
      </c>
      <c r="G12" s="244" t="s">
        <v>388</v>
      </c>
      <c r="H12" s="244"/>
      <c r="I12" s="244"/>
      <c r="J12" s="244"/>
      <c r="K12" s="245">
        <v>2250.0</v>
      </c>
      <c r="L12" s="245">
        <f>$K$12*$L$7</f>
        <v>6750</v>
      </c>
      <c r="M12" s="246">
        <f t="shared" si="4"/>
        <v>47250</v>
      </c>
      <c r="N12" s="95"/>
    </row>
    <row r="13" outlineLevel="1">
      <c r="A13" s="67"/>
      <c r="B13" s="242"/>
      <c r="C13" s="250"/>
      <c r="D13" s="132"/>
      <c r="E13" s="243" t="s">
        <v>393</v>
      </c>
      <c r="F13" s="244" t="s">
        <v>388</v>
      </c>
      <c r="G13" s="244" t="s">
        <v>388</v>
      </c>
      <c r="H13" s="244"/>
      <c r="I13" s="244"/>
      <c r="J13" s="244"/>
      <c r="K13" s="245">
        <v>1350.0</v>
      </c>
      <c r="L13" s="245">
        <f>$K$13*$L$7</f>
        <v>4050</v>
      </c>
      <c r="M13" s="246">
        <f t="shared" si="4"/>
        <v>28350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394</v>
      </c>
      <c r="F14" s="244" t="s">
        <v>388</v>
      </c>
      <c r="G14" s="244" t="s">
        <v>388</v>
      </c>
      <c r="H14" s="244"/>
      <c r="I14" s="244"/>
      <c r="J14" s="244"/>
      <c r="K14" s="245">
        <v>1500.0</v>
      </c>
      <c r="L14" s="245">
        <f>$K$14*$L$7</f>
        <v>4500</v>
      </c>
      <c r="M14" s="246">
        <f t="shared" si="4"/>
        <v>31500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395</v>
      </c>
      <c r="F15" s="244" t="s">
        <v>388</v>
      </c>
      <c r="G15" s="244" t="s">
        <v>388</v>
      </c>
      <c r="H15" s="244"/>
      <c r="I15" s="244"/>
      <c r="J15" s="244"/>
      <c r="K15" s="245">
        <v>1125.0</v>
      </c>
      <c r="L15" s="245">
        <f>$K$15*$L$7</f>
        <v>3375</v>
      </c>
      <c r="M15" s="246">
        <f t="shared" si="4"/>
        <v>23625</v>
      </c>
      <c r="N15" s="95"/>
    </row>
    <row r="16" outlineLevel="1">
      <c r="A16" s="67"/>
      <c r="B16" s="108" t="s">
        <v>18</v>
      </c>
      <c r="C16" s="252" t="s">
        <v>396</v>
      </c>
      <c r="D16" s="132"/>
      <c r="E16" s="253" t="s">
        <v>397</v>
      </c>
      <c r="F16" s="244" t="s">
        <v>388</v>
      </c>
      <c r="G16" s="244" t="s">
        <v>388</v>
      </c>
      <c r="H16" s="244"/>
      <c r="I16" s="244"/>
      <c r="J16" s="244"/>
      <c r="K16" s="254">
        <v>2625.0</v>
      </c>
      <c r="L16" s="245">
        <f>$K$16*$L$7</f>
        <v>7875</v>
      </c>
      <c r="M16" s="255">
        <f t="shared" si="4"/>
        <v>55125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337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342</v>
      </c>
      <c r="F19" s="262" t="str">
        <f>' BC Pay-ins NA'!C23</f>
        <v>Yes</v>
      </c>
      <c r="G19" s="262" t="str">
        <f>' BC Pay-ins NA'!D23</f>
        <v>Yes</v>
      </c>
      <c r="H19" s="262"/>
      <c r="I19" s="262"/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398</v>
      </c>
      <c r="F20" s="264" t="str">
        <f t="shared" ref="F20:G20" si="5">if(F19="Yes","No","Yes")</f>
        <v>No</v>
      </c>
      <c r="G20" s="264" t="str">
        <f t="shared" si="5"/>
        <v>No</v>
      </c>
      <c r="H20" s="264"/>
      <c r="I20" s="264"/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399</v>
      </c>
      <c r="F21" s="265">
        <f t="shared" ref="F21:G21" si="6">if(F19="yes",1,2)</f>
        <v>1</v>
      </c>
      <c r="G21" s="265">
        <f t="shared" si="6"/>
        <v>1</v>
      </c>
      <c r="H21" s="265"/>
      <c r="I21" s="265"/>
      <c r="J21" s="265"/>
      <c r="L21" s="263">
        <f>SUM(F21:J21)</f>
        <v>2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400</v>
      </c>
      <c r="F22" s="229">
        <f t="shared" ref="F22:G22" si="7">$C$12</f>
        <v>4</v>
      </c>
      <c r="G22" s="229">
        <f t="shared" si="7"/>
        <v>4</v>
      </c>
      <c r="H22" s="229"/>
      <c r="I22" s="229"/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383</v>
      </c>
      <c r="F23" s="233">
        <f t="shared" ref="F23:G23" si="8">F22*F21</f>
        <v>4</v>
      </c>
      <c r="G23" s="233">
        <f t="shared" si="8"/>
        <v>4</v>
      </c>
      <c r="H23" s="233"/>
      <c r="I23" s="233"/>
      <c r="J23" s="233"/>
      <c r="K23" s="234"/>
      <c r="L23" s="266">
        <f>SUM(F23:J23)</f>
        <v>8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401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387</v>
      </c>
      <c r="F25" s="244" t="s">
        <v>388</v>
      </c>
      <c r="G25" s="244" t="s">
        <v>388</v>
      </c>
      <c r="H25" s="244"/>
      <c r="I25" s="244"/>
      <c r="J25" s="244"/>
      <c r="K25" s="269">
        <v>2250.0</v>
      </c>
      <c r="L25" s="269">
        <f>$K$25*$L$22</f>
        <v>9000</v>
      </c>
      <c r="M25" s="175">
        <f>$L$25*$L$21</f>
        <v>18000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390</v>
      </c>
      <c r="F26" s="244" t="s">
        <v>388</v>
      </c>
      <c r="G26" s="244" t="s">
        <v>388</v>
      </c>
      <c r="H26" s="244"/>
      <c r="I26" s="244"/>
      <c r="J26" s="244"/>
      <c r="K26" s="269">
        <v>10500.0</v>
      </c>
      <c r="L26" s="269">
        <f>$K$26*$L$22</f>
        <v>42000</v>
      </c>
      <c r="M26" s="175">
        <f>$L$26*$L$21</f>
        <v>84000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392</v>
      </c>
      <c r="F27" s="244" t="s">
        <v>388</v>
      </c>
      <c r="G27" s="244" t="s">
        <v>388</v>
      </c>
      <c r="H27" s="244"/>
      <c r="I27" s="244"/>
      <c r="J27" s="244"/>
      <c r="K27" s="269">
        <v>2250.0</v>
      </c>
      <c r="L27" s="269">
        <f>$K$27*$L$22</f>
        <v>9000</v>
      </c>
      <c r="M27" s="175">
        <f>$L$27*$L$21</f>
        <v>18000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393</v>
      </c>
      <c r="F28" s="244" t="s">
        <v>388</v>
      </c>
      <c r="G28" s="244" t="s">
        <v>388</v>
      </c>
      <c r="H28" s="244"/>
      <c r="I28" s="244"/>
      <c r="J28" s="244"/>
      <c r="K28" s="269">
        <v>1350.0</v>
      </c>
      <c r="L28" s="269">
        <f>$K$28*$L$22</f>
        <v>5400</v>
      </c>
      <c r="M28" s="175">
        <f>$L$28*$L$21</f>
        <v>10800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394</v>
      </c>
      <c r="F29" s="244" t="s">
        <v>388</v>
      </c>
      <c r="G29" s="244" t="s">
        <v>388</v>
      </c>
      <c r="H29" s="244"/>
      <c r="I29" s="244"/>
      <c r="J29" s="244"/>
      <c r="K29" s="269">
        <v>1500.0</v>
      </c>
      <c r="L29" s="269">
        <f>$K$29*$L$22</f>
        <v>6000</v>
      </c>
      <c r="M29" s="175">
        <f>$L$29*$L$21</f>
        <v>12000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395</v>
      </c>
      <c r="F30" s="244" t="s">
        <v>388</v>
      </c>
      <c r="G30" s="244" t="s">
        <v>388</v>
      </c>
      <c r="H30" s="244"/>
      <c r="I30" s="244"/>
      <c r="J30" s="244"/>
      <c r="K30" s="269">
        <v>1125.0</v>
      </c>
      <c r="L30" s="269">
        <f>$K$30*$L$22</f>
        <v>4500</v>
      </c>
      <c r="M30" s="175">
        <f>$L$30*$L$21</f>
        <v>9000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397</v>
      </c>
      <c r="F31" s="270" t="s">
        <v>388</v>
      </c>
      <c r="G31" s="270" t="s">
        <v>388</v>
      </c>
      <c r="H31" s="270"/>
      <c r="I31" s="270"/>
      <c r="J31" s="270"/>
      <c r="K31" s="271">
        <v>2625.0</v>
      </c>
      <c r="L31" s="269">
        <f>$K$31*$L$22</f>
        <v>10500</v>
      </c>
      <c r="M31" s="175">
        <f>$L$31*$L$21</f>
        <v>21000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402</v>
      </c>
      <c r="F33" s="273" t="s">
        <v>353</v>
      </c>
      <c r="G33" s="273" t="s">
        <v>403</v>
      </c>
      <c r="H33" s="274" t="s">
        <v>404</v>
      </c>
      <c r="J33" s="272" t="s">
        <v>405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387</v>
      </c>
      <c r="F34" s="269">
        <f t="shared" ref="F34:F40" si="9">M10</f>
        <v>47250</v>
      </c>
      <c r="G34" s="269">
        <f t="shared" ref="G34:G40" si="10">M25</f>
        <v>18000</v>
      </c>
      <c r="H34" s="275">
        <f t="shared" ref="H34:H40" si="11">SUM(F34:G34)</f>
        <v>65250</v>
      </c>
      <c r="I34" s="276" t="s">
        <v>20</v>
      </c>
      <c r="J34" s="169" t="s">
        <v>386</v>
      </c>
      <c r="K34" s="277">
        <f>($L$6*$L$7)+($L$21*$L$22)</f>
        <v>29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390</v>
      </c>
      <c r="F35" s="269">
        <f t="shared" si="9"/>
        <v>220500</v>
      </c>
      <c r="G35" s="269">
        <f t="shared" si="10"/>
        <v>84000</v>
      </c>
      <c r="H35" s="275">
        <f t="shared" si="11"/>
        <v>304500</v>
      </c>
      <c r="I35" s="276" t="s">
        <v>20</v>
      </c>
      <c r="J35" s="169" t="s">
        <v>406</v>
      </c>
      <c r="K35" s="279">
        <f>round(K34/12,0)</f>
        <v>2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392</v>
      </c>
      <c r="F36" s="269">
        <f t="shared" si="9"/>
        <v>47250</v>
      </c>
      <c r="G36" s="269">
        <f t="shared" si="10"/>
        <v>18000</v>
      </c>
      <c r="H36" s="275">
        <f t="shared" si="11"/>
        <v>65250</v>
      </c>
      <c r="I36" s="276" t="s">
        <v>20</v>
      </c>
      <c r="J36" s="280" t="s">
        <v>407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393</v>
      </c>
      <c r="F37" s="269">
        <f t="shared" si="9"/>
        <v>28350</v>
      </c>
      <c r="G37" s="269">
        <f t="shared" si="10"/>
        <v>10800</v>
      </c>
      <c r="H37" s="275">
        <f t="shared" si="11"/>
        <v>39150</v>
      </c>
      <c r="I37" s="276" t="s">
        <v>20</v>
      </c>
      <c r="J37" s="169" t="s">
        <v>386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394</v>
      </c>
      <c r="F38" s="269">
        <f t="shared" si="9"/>
        <v>31500</v>
      </c>
      <c r="G38" s="269">
        <f t="shared" si="10"/>
        <v>12000</v>
      </c>
      <c r="H38" s="275">
        <f t="shared" si="11"/>
        <v>43500</v>
      </c>
      <c r="I38" s="276" t="s">
        <v>20</v>
      </c>
      <c r="J38" s="281" t="s">
        <v>408</v>
      </c>
      <c r="K38" s="282">
        <f>K34-K37</f>
        <v>27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395</v>
      </c>
      <c r="F39" s="269">
        <f t="shared" si="9"/>
        <v>23625</v>
      </c>
      <c r="G39" s="269">
        <f t="shared" si="10"/>
        <v>9000</v>
      </c>
      <c r="H39" s="275">
        <f t="shared" si="11"/>
        <v>32625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397</v>
      </c>
      <c r="F40" s="269">
        <f t="shared" si="9"/>
        <v>55125</v>
      </c>
      <c r="G40" s="269">
        <f t="shared" si="10"/>
        <v>21000</v>
      </c>
      <c r="H40" s="275">
        <f t="shared" si="11"/>
        <v>76125</v>
      </c>
      <c r="I40" s="276" t="s">
        <v>20</v>
      </c>
      <c r="J40" s="283" t="s">
        <v>409</v>
      </c>
      <c r="K40" s="284">
        <f>K38</f>
        <v>27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402</v>
      </c>
      <c r="F41" s="273">
        <f t="shared" ref="F41:G41" si="12">SUM(F34:F40)</f>
        <v>453600</v>
      </c>
      <c r="G41" s="273">
        <f t="shared" si="12"/>
        <v>172800</v>
      </c>
      <c r="H41" s="285">
        <f>SUM(H34:H40)/1000000</f>
        <v>0.6264</v>
      </c>
      <c r="I41" s="276" t="s">
        <v>20</v>
      </c>
      <c r="J41" s="283" t="s">
        <v>410</v>
      </c>
      <c r="K41" s="277" t="str">
        <f>CONCATENATE(ROUNDUP(K42,2)," ","years")</f>
        <v>2.25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2.25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420</v>
      </c>
      <c r="D3" s="136" t="s">
        <v>421</v>
      </c>
      <c r="E3" s="136" t="s">
        <v>422</v>
      </c>
      <c r="F3" s="136" t="s">
        <v>423</v>
      </c>
      <c r="G3" s="136" t="s">
        <v>424</v>
      </c>
      <c r="H3" s="137" t="s">
        <v>317</v>
      </c>
      <c r="I3" s="130"/>
      <c r="J3" s="137" t="s">
        <v>318</v>
      </c>
      <c r="K3" s="137" t="s">
        <v>318</v>
      </c>
      <c r="L3" s="130"/>
      <c r="M3" s="138" t="s">
        <v>319</v>
      </c>
      <c r="N3" s="67"/>
      <c r="O3" s="67"/>
    </row>
    <row r="4">
      <c r="A4" s="132"/>
      <c r="B4" s="116" t="s">
        <v>320</v>
      </c>
      <c r="C4" s="139">
        <v>0.069</v>
      </c>
      <c r="D4" s="139">
        <v>0.0485</v>
      </c>
      <c r="E4" s="139">
        <v>0.0401</v>
      </c>
      <c r="F4" s="139">
        <v>0.022</v>
      </c>
      <c r="G4" s="139">
        <v>0.0217</v>
      </c>
      <c r="H4" s="287">
        <f>SUM(C4:G4)</f>
        <v>0.2013</v>
      </c>
      <c r="I4" s="130"/>
      <c r="J4" s="130"/>
      <c r="K4" s="141"/>
      <c r="L4" s="130"/>
      <c r="M4" s="141" t="s">
        <v>321</v>
      </c>
      <c r="N4" s="67"/>
      <c r="O4" s="67"/>
    </row>
    <row r="5">
      <c r="A5" s="132"/>
      <c r="B5" s="142" t="s">
        <v>322</v>
      </c>
      <c r="C5" s="143">
        <f>C4*RESUMEN!$C$13</f>
        <v>41400000</v>
      </c>
      <c r="D5" s="143">
        <f>D4*RESUMEN!$C$13</f>
        <v>29100000</v>
      </c>
      <c r="E5" s="143">
        <f>E4*RESUMEN!$C$13</f>
        <v>24060000</v>
      </c>
      <c r="F5" s="143">
        <f>F4*RESUMEN!$C$13</f>
        <v>13200000</v>
      </c>
      <c r="G5" s="143">
        <f>G4*RESUMEN!$C$13</f>
        <v>13020000</v>
      </c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323</v>
      </c>
      <c r="C6" s="146">
        <v>0.1</v>
      </c>
      <c r="D6" s="146">
        <v>0.1</v>
      </c>
      <c r="E6" s="146">
        <v>0.1</v>
      </c>
      <c r="F6" s="146">
        <v>0.1</v>
      </c>
      <c r="G6" s="146">
        <v>0.1</v>
      </c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324</v>
      </c>
      <c r="C7" s="148">
        <f>VLOOKUP(RESUMEN!$C$4,'Aceptance Rate Delta per Indust'!$B$3:$K$40,9,false)</f>
        <v>0.1</v>
      </c>
      <c r="D7" s="148">
        <f>VLOOKUP(RESUMEN!$C$4,'Aceptance Rate Delta per Indust'!$B$3:$K$40,9,false)</f>
        <v>0.1</v>
      </c>
      <c r="E7" s="148">
        <f>VLOOKUP(RESUMEN!$C$4,'Aceptance Rate Delta per Indust'!$B$3:$K$40,9,false)</f>
        <v>0.1</v>
      </c>
      <c r="F7" s="148">
        <f>VLOOKUP(RESUMEN!$C$4,'Aceptance Rate Delta per Indust'!$B$3:$K$40,9,false)</f>
        <v>0.1</v>
      </c>
      <c r="G7" s="148">
        <f>VLOOKUP(RESUMEN!$C$4,'Aceptance Rate Delta per Indust'!$B$3:$K$40,9,false)</f>
        <v>0.1</v>
      </c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325</v>
      </c>
      <c r="C8" s="150">
        <f>VLOOKUP(RESUMEN!$C$4,'Aceptance Rate Delta per Indust'!$B$3:$K$40,10,false)</f>
        <v>0.7</v>
      </c>
      <c r="D8" s="150">
        <f>VLOOKUP(RESUMEN!$C$4,'Aceptance Rate Delta per Indust'!$B$3:$K$40,10,false)</f>
        <v>0.7</v>
      </c>
      <c r="E8" s="150">
        <f>VLOOKUP(RESUMEN!$C$4,'Aceptance Rate Delta per Indust'!$B$3:$K$40,10,false)</f>
        <v>0.7</v>
      </c>
      <c r="F8" s="150">
        <f>VLOOKUP(RESUMEN!$C$4,'Aceptance Rate Delta per Indust'!$B$3:$K$40,10,false)</f>
        <v>0.7</v>
      </c>
      <c r="G8" s="150">
        <f>VLOOKUP(RESUMEN!$C$4,'Aceptance Rate Delta per Indust'!$B$3:$K$40,10,false)</f>
        <v>0.7</v>
      </c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326</v>
      </c>
      <c r="C9" s="143">
        <f t="shared" ref="C9:G9" si="1">(ROUND(C5*C6,0))</f>
        <v>4140000</v>
      </c>
      <c r="D9" s="143">
        <f t="shared" si="1"/>
        <v>2910000</v>
      </c>
      <c r="E9" s="143">
        <f t="shared" si="1"/>
        <v>2406000</v>
      </c>
      <c r="F9" s="143">
        <f t="shared" si="1"/>
        <v>1320000</v>
      </c>
      <c r="G9" s="143">
        <f t="shared" si="1"/>
        <v>1302000</v>
      </c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327</v>
      </c>
      <c r="C10" s="151">
        <v>22.0</v>
      </c>
      <c r="D10" s="151">
        <v>23.0</v>
      </c>
      <c r="E10" s="151">
        <v>18.0</v>
      </c>
      <c r="F10" s="151">
        <v>22.0</v>
      </c>
      <c r="G10" s="151">
        <v>20.0</v>
      </c>
      <c r="H10" s="95"/>
      <c r="I10" s="152"/>
      <c r="J10" s="152"/>
      <c r="K10" s="152"/>
      <c r="L10" s="152"/>
      <c r="M10" s="152" t="s">
        <v>328</v>
      </c>
      <c r="N10" s="67"/>
      <c r="O10" s="67"/>
    </row>
    <row r="11" outlineLevel="1">
      <c r="A11" s="132"/>
      <c r="B11" s="153" t="s">
        <v>329</v>
      </c>
      <c r="C11" s="154">
        <f>(RESUMEN!$C$13*C4*C6*C10)/1000000</f>
        <v>91.08</v>
      </c>
      <c r="D11" s="154">
        <f>(RESUMEN!$C$13*D4*D6*D10)/1000000</f>
        <v>66.93</v>
      </c>
      <c r="E11" s="154">
        <f>(RESUMEN!$C$13*E4*E6*E10)/1000000</f>
        <v>43.308</v>
      </c>
      <c r="F11" s="154">
        <f>(RESUMEN!$C$13*F4*F6*F10)/1000000</f>
        <v>29.04</v>
      </c>
      <c r="G11" s="154">
        <f>(RESUMEN!$C$13*G4*G6*G10)/1000000</f>
        <v>26.04</v>
      </c>
      <c r="H11" s="288">
        <f>SUM(C11:G11)</f>
        <v>256.398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330</v>
      </c>
      <c r="C12" s="156">
        <v>1.0</v>
      </c>
      <c r="D12" s="156">
        <v>0.95</v>
      </c>
      <c r="E12" s="156">
        <v>1.0</v>
      </c>
      <c r="F12" s="156">
        <v>1.0</v>
      </c>
      <c r="G12" s="156">
        <v>1.0</v>
      </c>
      <c r="H12" s="95"/>
      <c r="K12" s="152"/>
      <c r="M12" s="152" t="s">
        <v>331</v>
      </c>
      <c r="N12" s="67"/>
      <c r="O12" s="67"/>
    </row>
    <row r="13">
      <c r="A13" s="132"/>
      <c r="B13" s="153" t="s">
        <v>332</v>
      </c>
      <c r="C13" s="157">
        <f t="shared" ref="C13:F13" si="2">(C12*C11)</f>
        <v>91.08</v>
      </c>
      <c r="D13" s="157">
        <f t="shared" si="2"/>
        <v>63.5835</v>
      </c>
      <c r="E13" s="157">
        <f t="shared" si="2"/>
        <v>43.308</v>
      </c>
      <c r="F13" s="157">
        <f t="shared" si="2"/>
        <v>29.04</v>
      </c>
      <c r="G13" s="157">
        <f>G12*G11</f>
        <v>26.04</v>
      </c>
      <c r="H13" s="158">
        <f>SUM(C13:G13)</f>
        <v>253.0515</v>
      </c>
      <c r="K13" s="152"/>
      <c r="M13" s="152" t="s">
        <v>333</v>
      </c>
      <c r="N13" s="95"/>
      <c r="O13" s="95"/>
    </row>
    <row r="14">
      <c r="A14" s="132"/>
      <c r="B14" s="133" t="s">
        <v>334</v>
      </c>
      <c r="C14" s="159">
        <f t="shared" ref="C14:G14" si="3">1-C12</f>
        <v>0</v>
      </c>
      <c r="D14" s="159">
        <f t="shared" si="3"/>
        <v>0.05</v>
      </c>
      <c r="E14" s="159">
        <f t="shared" si="3"/>
        <v>0</v>
      </c>
      <c r="F14" s="159">
        <f t="shared" si="3"/>
        <v>0</v>
      </c>
      <c r="G14" s="159">
        <f t="shared" si="3"/>
        <v>0</v>
      </c>
      <c r="H14" s="95"/>
      <c r="K14" s="152"/>
      <c r="M14" s="152" t="s">
        <v>335</v>
      </c>
      <c r="N14" s="95"/>
      <c r="O14" s="95"/>
    </row>
    <row r="15">
      <c r="A15" s="132"/>
      <c r="B15" s="160" t="s">
        <v>336</v>
      </c>
      <c r="C15" s="161">
        <f t="shared" ref="C15:G15" si="4">C14*C11</f>
        <v>0</v>
      </c>
      <c r="D15" s="161">
        <f t="shared" si="4"/>
        <v>3.3465</v>
      </c>
      <c r="E15" s="161">
        <f t="shared" si="4"/>
        <v>0</v>
      </c>
      <c r="F15" s="161">
        <f t="shared" si="4"/>
        <v>0</v>
      </c>
      <c r="G15" s="161">
        <f t="shared" si="4"/>
        <v>0</v>
      </c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337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338</v>
      </c>
      <c r="C18" s="166">
        <v>0.03</v>
      </c>
      <c r="D18" s="166">
        <v>0.03</v>
      </c>
      <c r="E18" s="166">
        <v>0.03</v>
      </c>
      <c r="F18" s="166">
        <v>0.06</v>
      </c>
      <c r="G18" s="166">
        <v>0.03</v>
      </c>
      <c r="H18" s="167" t="s">
        <v>20</v>
      </c>
      <c r="K18" s="168"/>
      <c r="M18" s="168"/>
      <c r="N18" s="95"/>
      <c r="O18" s="95"/>
    </row>
    <row r="19">
      <c r="A19" s="132"/>
      <c r="B19" s="169" t="s">
        <v>339</v>
      </c>
      <c r="C19" s="170">
        <f t="shared" ref="C19:G19" si="5">C13*C18</f>
        <v>2.7324</v>
      </c>
      <c r="D19" s="170">
        <f t="shared" si="5"/>
        <v>1.907505</v>
      </c>
      <c r="E19" s="170">
        <f t="shared" si="5"/>
        <v>1.29924</v>
      </c>
      <c r="F19" s="170">
        <f t="shared" si="5"/>
        <v>1.7424</v>
      </c>
      <c r="G19" s="170">
        <f t="shared" si="5"/>
        <v>0.7812</v>
      </c>
      <c r="H19" s="171">
        <f t="shared" ref="H19:H20" si="6">SUM(C19:G19)</f>
        <v>8.462745</v>
      </c>
      <c r="J19" s="171">
        <f t="shared" ref="J19:J20" si="7">rounddown(H19-1,0)</f>
        <v>7</v>
      </c>
      <c r="K19" s="171">
        <f t="shared" ref="K19:K20" si="8">ROUNDUP(H19-1,0)+1</f>
        <v>9</v>
      </c>
      <c r="M19" s="152" t="s">
        <v>333</v>
      </c>
      <c r="N19" s="95"/>
      <c r="O19" s="95"/>
    </row>
    <row r="20">
      <c r="A20" s="132"/>
      <c r="B20" s="172" t="s">
        <v>340</v>
      </c>
      <c r="C20" s="173">
        <f>C19*RESUMEN!$C$15</f>
        <v>1.63944</v>
      </c>
      <c r="D20" s="173">
        <f>D19*RESUMEN!$C$15</f>
        <v>1.144503</v>
      </c>
      <c r="E20" s="173">
        <f>E19*RESUMEN!$C$15</f>
        <v>0.779544</v>
      </c>
      <c r="F20" s="173">
        <f>F19*RESUMEN!$C$15</f>
        <v>1.04544</v>
      </c>
      <c r="G20" s="173">
        <f>G19*RESUMEN!$C$15</f>
        <v>0.46872</v>
      </c>
      <c r="H20" s="171">
        <f t="shared" si="6"/>
        <v>5.077647</v>
      </c>
      <c r="J20" s="171">
        <f t="shared" si="7"/>
        <v>4</v>
      </c>
      <c r="K20" s="171">
        <f t="shared" si="8"/>
        <v>6</v>
      </c>
      <c r="M20" s="152" t="s">
        <v>333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341</v>
      </c>
      <c r="C22" s="177">
        <f t="shared" ref="C22:G22" si="9">C$11*C12+C19</f>
        <v>93.8124</v>
      </c>
      <c r="D22" s="177">
        <f t="shared" si="9"/>
        <v>65.491005</v>
      </c>
      <c r="E22" s="177">
        <f t="shared" si="9"/>
        <v>44.60724</v>
      </c>
      <c r="F22" s="177">
        <f t="shared" si="9"/>
        <v>30.7824</v>
      </c>
      <c r="G22" s="177">
        <f t="shared" si="9"/>
        <v>26.8212</v>
      </c>
      <c r="H22" s="67"/>
      <c r="K22" s="130"/>
      <c r="M22" s="130"/>
      <c r="N22" s="95"/>
      <c r="O22" s="95"/>
    </row>
    <row r="23">
      <c r="A23" s="132"/>
      <c r="B23" s="178" t="s">
        <v>342</v>
      </c>
      <c r="C23" s="179" t="s">
        <v>413</v>
      </c>
      <c r="D23" s="180" t="s">
        <v>413</v>
      </c>
      <c r="E23" s="180" t="s">
        <v>413</v>
      </c>
      <c r="F23" s="180" t="s">
        <v>413</v>
      </c>
      <c r="G23" s="180" t="s">
        <v>413</v>
      </c>
      <c r="H23" s="67"/>
      <c r="K23" s="152"/>
      <c r="M23" s="152" t="s">
        <v>344</v>
      </c>
      <c r="N23" s="67"/>
      <c r="O23" s="67"/>
    </row>
    <row r="24">
      <c r="A24" s="132"/>
      <c r="B24" s="181" t="s">
        <v>345</v>
      </c>
      <c r="C24" s="148">
        <f>if(C23="Yes",VLOOKUP(RESUMEN!$C$4,'Aceptance Rate Delta per Indust'!$B$3:$G$40,5,FALSE),VLOOKUP(RESUMEN!$C$4,'Aceptance Rate Delta per Indust'!$B$3:$G$40,6,FALSE))</f>
        <v>0.028</v>
      </c>
      <c r="D24" s="148">
        <f>if(D23="Yes",VLOOKUP(RESUMEN!$C$4,'Aceptance Rate Delta per Indust'!$B$3:$G$40,5,FALSE),VLOOKUP(RESUMEN!$C$4,'Aceptance Rate Delta per Indust'!$B$3:$G$40,6,FALSE))</f>
        <v>0.028</v>
      </c>
      <c r="E24" s="148">
        <f>if(E23="Yes",VLOOKUP(RESUMEN!$C$4,'Aceptance Rate Delta per Indust'!$B$3:$G$40,5,FALSE),VLOOKUP(RESUMEN!$C$4,'Aceptance Rate Delta per Indust'!$B$3:$G$40,6,FALSE))</f>
        <v>0.028</v>
      </c>
      <c r="F24" s="148">
        <f>if(F23="Yes",VLOOKUP(RESUMEN!$C$4,'Aceptance Rate Delta per Indust'!$B$3:$G$40,5,FALSE),VLOOKUP(RESUMEN!$C$4,'Aceptance Rate Delta per Indust'!$B$3:$G$40,6,FALSE))</f>
        <v>0.028</v>
      </c>
      <c r="G24" s="148">
        <f>if(G23="Yes",VLOOKUP(RESUMEN!$C$4,'Aceptance Rate Delta per Indust'!$B$3:$G$40,5,FALSE),VLOOKUP(RESUMEN!$C$4,'Aceptance Rate Delta per Indust'!$B$3:$G$40,6,FALSE))</f>
        <v>0.028</v>
      </c>
      <c r="H24" s="67"/>
      <c r="I24" s="130"/>
      <c r="J24" s="130"/>
      <c r="K24" s="141"/>
      <c r="L24" s="130"/>
      <c r="M24" s="141" t="s">
        <v>346</v>
      </c>
      <c r="N24" s="67"/>
      <c r="O24" s="67"/>
    </row>
    <row r="25">
      <c r="A25" s="127"/>
      <c r="B25" s="182" t="s">
        <v>347</v>
      </c>
      <c r="C25" s="183">
        <f t="shared" ref="C25:G25" si="10">IFS(C23="Yes",-0.2%,C23="No",-1%)</f>
        <v>-0.002</v>
      </c>
      <c r="D25" s="183">
        <f t="shared" si="10"/>
        <v>-0.002</v>
      </c>
      <c r="E25" s="183">
        <f t="shared" si="10"/>
        <v>-0.002</v>
      </c>
      <c r="F25" s="183">
        <f t="shared" si="10"/>
        <v>-0.002</v>
      </c>
      <c r="G25" s="183">
        <f t="shared" si="10"/>
        <v>-0.002</v>
      </c>
      <c r="H25" s="67"/>
      <c r="I25" s="130"/>
      <c r="J25" s="130"/>
      <c r="K25" s="141"/>
      <c r="L25" s="130"/>
      <c r="M25" s="141" t="s">
        <v>348</v>
      </c>
      <c r="N25" s="67"/>
      <c r="O25" s="67"/>
    </row>
    <row r="26">
      <c r="A26" s="127"/>
      <c r="B26" s="184" t="s">
        <v>349</v>
      </c>
      <c r="C26" s="185">
        <f t="shared" ref="C26:G26" si="11">C24+C25</f>
        <v>0.026</v>
      </c>
      <c r="D26" s="185">
        <f t="shared" si="11"/>
        <v>0.026</v>
      </c>
      <c r="E26" s="185">
        <f t="shared" si="11"/>
        <v>0.026</v>
      </c>
      <c r="F26" s="185">
        <f t="shared" si="11"/>
        <v>0.026</v>
      </c>
      <c r="G26" s="185">
        <f t="shared" si="11"/>
        <v>0.026</v>
      </c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350</v>
      </c>
      <c r="C27" s="187">
        <f t="shared" ref="C27:G27" si="12">C25*C22*-1</f>
        <v>0.1876248</v>
      </c>
      <c r="D27" s="187">
        <f t="shared" si="12"/>
        <v>0.13098201</v>
      </c>
      <c r="E27" s="188">
        <f t="shared" si="12"/>
        <v>0.08921448</v>
      </c>
      <c r="F27" s="187">
        <f t="shared" si="12"/>
        <v>0.0615648</v>
      </c>
      <c r="G27" s="187">
        <f t="shared" si="12"/>
        <v>0.0536424</v>
      </c>
      <c r="H27" s="187">
        <f>SUM(C27:G27)</f>
        <v>0.52302849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333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351</v>
      </c>
      <c r="C29" s="190">
        <f t="shared" ref="C29:G29" si="13">C27+C20</f>
        <v>1.8270648</v>
      </c>
      <c r="D29" s="190">
        <f t="shared" si="13"/>
        <v>1.27548501</v>
      </c>
      <c r="E29" s="191">
        <f t="shared" si="13"/>
        <v>0.86875848</v>
      </c>
      <c r="F29" s="190">
        <f t="shared" si="13"/>
        <v>1.1070048</v>
      </c>
      <c r="G29" s="190">
        <f t="shared" si="13"/>
        <v>0.5223624</v>
      </c>
      <c r="H29" s="192">
        <f>SUM(C29:G29)</f>
        <v>5.60067549</v>
      </c>
      <c r="I29" s="168"/>
      <c r="J29" s="168" t="s">
        <v>20</v>
      </c>
      <c r="K29" s="141"/>
      <c r="L29" s="168"/>
      <c r="M29" s="141" t="s">
        <v>352</v>
      </c>
      <c r="N29" s="67"/>
      <c r="O29" s="67"/>
    </row>
    <row r="30">
      <c r="A30" s="127"/>
      <c r="B30" s="67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353</v>
      </c>
      <c r="C31" s="194" t="s">
        <v>425</v>
      </c>
      <c r="D31" s="194" t="s">
        <v>426</v>
      </c>
      <c r="E31" s="194" t="s">
        <v>427</v>
      </c>
      <c r="F31" s="194" t="s">
        <v>428</v>
      </c>
      <c r="G31" s="194" t="s">
        <v>429</v>
      </c>
      <c r="H31" s="175"/>
      <c r="I31" s="195"/>
      <c r="J31" s="195"/>
      <c r="K31" s="141"/>
      <c r="L31" s="195"/>
      <c r="M31" s="141" t="s">
        <v>359</v>
      </c>
      <c r="N31" s="67"/>
      <c r="O31" s="67"/>
    </row>
    <row r="32">
      <c r="A32" s="127"/>
      <c r="B32" s="176" t="s">
        <v>360</v>
      </c>
      <c r="C32" s="177">
        <f t="shared" ref="C32:G32" si="14">C11*C14</f>
        <v>0</v>
      </c>
      <c r="D32" s="177">
        <f t="shared" si="14"/>
        <v>3.3465</v>
      </c>
      <c r="E32" s="177">
        <f t="shared" si="14"/>
        <v>0</v>
      </c>
      <c r="F32" s="177">
        <f t="shared" si="14"/>
        <v>0</v>
      </c>
      <c r="G32" s="177">
        <f t="shared" si="14"/>
        <v>0</v>
      </c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361</v>
      </c>
      <c r="C33" s="179">
        <v>0.0</v>
      </c>
      <c r="D33" s="179">
        <v>2.0</v>
      </c>
      <c r="E33" s="179">
        <v>2.0</v>
      </c>
      <c r="F33" s="179">
        <v>2.0</v>
      </c>
      <c r="G33" s="179">
        <v>2.0</v>
      </c>
      <c r="H33" s="175"/>
      <c r="I33" s="193"/>
      <c r="J33" s="193"/>
      <c r="K33" s="141"/>
      <c r="L33" s="193"/>
      <c r="M33" s="141" t="s">
        <v>362</v>
      </c>
      <c r="N33" s="67"/>
      <c r="O33" s="67"/>
    </row>
    <row r="34">
      <c r="A34" s="70" t="s">
        <v>416</v>
      </c>
      <c r="B34" s="197" t="s">
        <v>363</v>
      </c>
      <c r="C34" s="198">
        <v>4.0</v>
      </c>
      <c r="D34" s="198">
        <v>3.0</v>
      </c>
      <c r="E34" s="198">
        <v>3.0</v>
      </c>
      <c r="F34" s="198">
        <v>3.0</v>
      </c>
      <c r="G34" s="198">
        <v>3.0</v>
      </c>
      <c r="H34" s="175"/>
      <c r="I34" s="193"/>
      <c r="J34" s="193"/>
      <c r="K34" s="141"/>
      <c r="L34" s="193"/>
      <c r="M34" s="141" t="s">
        <v>364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416</v>
      </c>
      <c r="B36" s="197" t="s">
        <v>365</v>
      </c>
      <c r="C36" s="200">
        <v>0.07</v>
      </c>
      <c r="D36" s="200">
        <v>0.06</v>
      </c>
      <c r="E36" s="200">
        <v>0.1</v>
      </c>
      <c r="F36" s="200">
        <v>0.1</v>
      </c>
      <c r="G36" s="200">
        <v>0.07</v>
      </c>
      <c r="I36" s="193"/>
      <c r="J36" s="193"/>
      <c r="K36" s="141"/>
      <c r="L36" s="193"/>
      <c r="M36" s="141" t="s">
        <v>366</v>
      </c>
      <c r="N36" s="67"/>
      <c r="O36" s="67"/>
    </row>
    <row r="37">
      <c r="A37" s="127"/>
      <c r="B37" s="201" t="s">
        <v>367</v>
      </c>
      <c r="C37" s="202">
        <f t="shared" ref="C37:G37" si="15">((1+C35)+(1+C36)-1)*C11-C11</f>
        <v>6.3756</v>
      </c>
      <c r="D37" s="202">
        <f t="shared" si="15"/>
        <v>4.0158</v>
      </c>
      <c r="E37" s="202">
        <f t="shared" si="15"/>
        <v>4.3308</v>
      </c>
      <c r="F37" s="202">
        <f t="shared" si="15"/>
        <v>2.904</v>
      </c>
      <c r="G37" s="202">
        <f t="shared" si="15"/>
        <v>1.8228</v>
      </c>
      <c r="H37" s="202">
        <f>SUM(C37:G37)</f>
        <v>19.449</v>
      </c>
      <c r="I37" s="130"/>
      <c r="J37" s="171">
        <f>rounddown(H37-1,0)</f>
        <v>18</v>
      </c>
      <c r="K37" s="171">
        <f>ROUNDUP(H37-1,0)+1</f>
        <v>20</v>
      </c>
      <c r="L37" s="130"/>
      <c r="M37" s="152" t="s">
        <v>333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368</v>
      </c>
      <c r="C39" s="205">
        <f>C37*RESUMEN!$C$15</f>
        <v>3.82536</v>
      </c>
      <c r="D39" s="205">
        <f>D37*RESUMEN!$C$15</f>
        <v>2.40948</v>
      </c>
      <c r="E39" s="205">
        <f>E37*RESUMEN!$C$15</f>
        <v>2.59848</v>
      </c>
      <c r="F39" s="205">
        <f>F37*RESUMEN!$C$15</f>
        <v>1.7424</v>
      </c>
      <c r="G39" s="205">
        <f>G37*RESUMEN!$C$15</f>
        <v>1.09368</v>
      </c>
      <c r="H39" s="202">
        <f>SUM(C39:G39)</f>
        <v>11.6694</v>
      </c>
      <c r="I39" s="189"/>
      <c r="J39" s="171">
        <f>rounddown(H39-1,0)</f>
        <v>10</v>
      </c>
      <c r="K39" s="171">
        <f>ROUNDUP(H39-1,0)+1</f>
        <v>12</v>
      </c>
      <c r="L39" s="189"/>
      <c r="M39" s="152" t="s">
        <v>333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369</v>
      </c>
      <c r="C41" s="206">
        <v>0.03</v>
      </c>
      <c r="D41" s="206">
        <v>0.02</v>
      </c>
      <c r="E41" s="206">
        <v>0.04</v>
      </c>
      <c r="F41" s="206">
        <v>0.05</v>
      </c>
      <c r="G41" s="206">
        <v>0.03</v>
      </c>
      <c r="H41" s="175"/>
      <c r="I41" s="193"/>
      <c r="J41" s="193"/>
      <c r="K41" s="141"/>
      <c r="L41" s="193"/>
      <c r="M41" s="141" t="s">
        <v>370</v>
      </c>
      <c r="N41" s="67"/>
      <c r="O41" s="67"/>
    </row>
    <row r="42">
      <c r="A42" s="127"/>
      <c r="B42" s="207" t="s">
        <v>371</v>
      </c>
      <c r="C42" s="208">
        <f t="shared" ref="C42:G42" si="16">C41*C11</f>
        <v>2.7324</v>
      </c>
      <c r="D42" s="208">
        <f t="shared" si="16"/>
        <v>1.3386</v>
      </c>
      <c r="E42" s="208">
        <f t="shared" si="16"/>
        <v>1.73232</v>
      </c>
      <c r="F42" s="208">
        <f t="shared" si="16"/>
        <v>1.452</v>
      </c>
      <c r="G42" s="208">
        <f t="shared" si="16"/>
        <v>0.7812</v>
      </c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372</v>
      </c>
      <c r="C44" s="209">
        <f t="shared" ref="C44:G44" si="17">C24</f>
        <v>0.028</v>
      </c>
      <c r="D44" s="209">
        <f t="shared" si="17"/>
        <v>0.028</v>
      </c>
      <c r="E44" s="209">
        <f t="shared" si="17"/>
        <v>0.028</v>
      </c>
      <c r="F44" s="209">
        <f t="shared" si="17"/>
        <v>0.028</v>
      </c>
      <c r="G44" s="209">
        <f t="shared" si="17"/>
        <v>0.028</v>
      </c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373</v>
      </c>
      <c r="C45" s="211">
        <v>0.012</v>
      </c>
      <c r="D45" s="211">
        <v>0.012</v>
      </c>
      <c r="E45" s="211">
        <v>0.012</v>
      </c>
      <c r="F45" s="211">
        <v>0.012</v>
      </c>
      <c r="G45" s="211">
        <v>0.012</v>
      </c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374</v>
      </c>
      <c r="C47" s="202">
        <f t="shared" ref="C47:G47" si="18">(C42+C37)*(C44-C45)</f>
        <v>0.145728</v>
      </c>
      <c r="D47" s="202">
        <f t="shared" si="18"/>
        <v>0.0856704</v>
      </c>
      <c r="E47" s="202">
        <f t="shared" si="18"/>
        <v>0.09700992</v>
      </c>
      <c r="F47" s="202">
        <f t="shared" si="18"/>
        <v>0.069696</v>
      </c>
      <c r="G47" s="202">
        <f t="shared" si="18"/>
        <v>0.041664</v>
      </c>
      <c r="H47" s="202">
        <f>SUM(C47:G47)</f>
        <v>0.43976832</v>
      </c>
      <c r="I47" s="189"/>
      <c r="J47" s="212">
        <f>if(H47&gt;1,ROUNDUP(H47-1,0),H47)</f>
        <v>0.43976832</v>
      </c>
      <c r="K47" s="212">
        <f>if(H47&gt;1,ROUNDUP(H47-1,0),H47)+2</f>
        <v>2.43976832</v>
      </c>
      <c r="L47" s="189"/>
      <c r="M47" s="152" t="s">
        <v>333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375</v>
      </c>
      <c r="C49" s="213">
        <f t="shared" ref="C49:G49" si="19">C47+C39</f>
        <v>3.971088</v>
      </c>
      <c r="D49" s="213">
        <f t="shared" si="19"/>
        <v>2.4951504</v>
      </c>
      <c r="E49" s="213">
        <f t="shared" si="19"/>
        <v>2.69548992</v>
      </c>
      <c r="F49" s="213">
        <f t="shared" si="19"/>
        <v>1.812096</v>
      </c>
      <c r="G49" s="213">
        <f t="shared" si="19"/>
        <v>1.135344</v>
      </c>
      <c r="H49" s="214">
        <f>SUM(C49:G49)</f>
        <v>12.10916832</v>
      </c>
      <c r="I49" s="193"/>
      <c r="J49" s="193"/>
      <c r="K49" s="141"/>
      <c r="L49" s="193"/>
      <c r="M49" s="141" t="s">
        <v>376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430</v>
      </c>
      <c r="D2" s="132"/>
      <c r="E2" s="133"/>
      <c r="F2" s="134" t="s">
        <v>377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136" t="str">
        <f>'BC Pay-ins EMEA'!C3</f>
        <v>Germany</v>
      </c>
      <c r="G3" s="136" t="str">
        <f>'BC Pay-ins EMEA'!D3</f>
        <v>United Kingdom</v>
      </c>
      <c r="H3" s="136" t="str">
        <f>'BC Pay-ins EMEA'!E3</f>
        <v>Spain</v>
      </c>
      <c r="I3" s="136" t="str">
        <f>'BC Pay-ins EMEA'!F3</f>
        <v>Netherlands</v>
      </c>
      <c r="J3" s="136" t="str">
        <f>'BC Pay-ins EMEA'!G3</f>
        <v>France</v>
      </c>
      <c r="K3" s="137" t="s">
        <v>378</v>
      </c>
      <c r="L3" s="137" t="s">
        <v>379</v>
      </c>
      <c r="M3" s="137" t="s">
        <v>380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353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431</v>
      </c>
      <c r="Q4" s="67"/>
    </row>
    <row r="5">
      <c r="A5" s="67"/>
      <c r="B5" s="224" t="s">
        <v>28</v>
      </c>
      <c r="C5" s="225" t="s">
        <v>68</v>
      </c>
      <c r="D5" s="132"/>
      <c r="E5" s="196" t="s">
        <v>361</v>
      </c>
      <c r="F5" s="226">
        <f>'BC Pay-ins EMEA'!C33</f>
        <v>0</v>
      </c>
      <c r="G5" s="226">
        <f>'BC Pay-ins EMEA'!D33</f>
        <v>2</v>
      </c>
      <c r="H5" s="226">
        <f>'BC Pay-ins EMEA'!E33</f>
        <v>2</v>
      </c>
      <c r="I5" s="226">
        <f>'BC Pay-ins EMEA'!F33</f>
        <v>2</v>
      </c>
      <c r="J5" s="226">
        <f>'BC Pay-ins EMEA'!G33</f>
        <v>2</v>
      </c>
      <c r="L5" s="227">
        <f t="shared" ref="L5:L6" si="1">SUM(F5:J5)</f>
        <v>8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363</v>
      </c>
      <c r="F6" s="226">
        <f>'BC Pay-ins EMEA'!C34</f>
        <v>4</v>
      </c>
      <c r="G6" s="226">
        <f>'BC Pay-ins EMEA'!D34</f>
        <v>3</v>
      </c>
      <c r="H6" s="226">
        <f>'BC Pay-ins EMEA'!E34</f>
        <v>3</v>
      </c>
      <c r="I6" s="226">
        <f>'BC Pay-ins EMEA'!F34</f>
        <v>3</v>
      </c>
      <c r="J6" s="226">
        <f>'BC Pay-ins EMEA'!G34</f>
        <v>3</v>
      </c>
      <c r="L6" s="228">
        <f t="shared" si="1"/>
        <v>16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382</v>
      </c>
      <c r="F7" s="229">
        <f t="shared" ref="F7:J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>
        <f t="shared" si="2"/>
        <v>3</v>
      </c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383</v>
      </c>
      <c r="F8" s="233">
        <f t="shared" ref="F8:J8" si="3">F7*F6</f>
        <v>12</v>
      </c>
      <c r="G8" s="233">
        <f t="shared" si="3"/>
        <v>9</v>
      </c>
      <c r="H8" s="233">
        <f t="shared" si="3"/>
        <v>9</v>
      </c>
      <c r="I8" s="233">
        <f t="shared" si="3"/>
        <v>9</v>
      </c>
      <c r="J8" s="233">
        <f t="shared" si="3"/>
        <v>9</v>
      </c>
      <c r="K8" s="234"/>
      <c r="L8" s="235">
        <f>SUM(F8:J8)</f>
        <v>48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384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1036800</v>
      </c>
      <c r="N9" s="241" t="s">
        <v>20</v>
      </c>
      <c r="P9" s="67"/>
    </row>
    <row r="10" outlineLevel="1">
      <c r="A10" s="67"/>
      <c r="B10" s="242" t="s">
        <v>385</v>
      </c>
      <c r="C10" s="242" t="s">
        <v>386</v>
      </c>
      <c r="D10" s="132"/>
      <c r="E10" s="243" t="s">
        <v>387</v>
      </c>
      <c r="F10" s="244" t="s">
        <v>388</v>
      </c>
      <c r="G10" s="244" t="s">
        <v>388</v>
      </c>
      <c r="H10" s="244" t="s">
        <v>388</v>
      </c>
      <c r="I10" s="244" t="s">
        <v>388</v>
      </c>
      <c r="J10" s="244" t="s">
        <v>388</v>
      </c>
      <c r="K10" s="245">
        <v>2250.0</v>
      </c>
      <c r="L10" s="245">
        <f>$K$10*$L$7</f>
        <v>6750</v>
      </c>
      <c r="M10" s="246">
        <f t="shared" ref="M10:M16" si="4">L10*$L$6</f>
        <v>108000</v>
      </c>
      <c r="N10" s="95"/>
    </row>
    <row r="11" outlineLevel="1">
      <c r="A11" s="67"/>
      <c r="B11" s="247" t="s">
        <v>432</v>
      </c>
      <c r="C11" s="248">
        <v>3.0</v>
      </c>
      <c r="D11" s="132"/>
      <c r="E11" s="243" t="s">
        <v>390</v>
      </c>
      <c r="F11" s="244" t="s">
        <v>388</v>
      </c>
      <c r="G11" s="244" t="s">
        <v>388</v>
      </c>
      <c r="H11" s="244" t="s">
        <v>388</v>
      </c>
      <c r="I11" s="244" t="s">
        <v>388</v>
      </c>
      <c r="J11" s="244" t="s">
        <v>388</v>
      </c>
      <c r="K11" s="245">
        <v>10500.0</v>
      </c>
      <c r="L11" s="245">
        <f>$K$11*$L$7</f>
        <v>31500</v>
      </c>
      <c r="M11" s="246">
        <f t="shared" si="4"/>
        <v>504000</v>
      </c>
      <c r="N11" s="95"/>
    </row>
    <row r="12" outlineLevel="1">
      <c r="A12" s="67"/>
      <c r="B12" s="116" t="s">
        <v>391</v>
      </c>
      <c r="C12" s="249">
        <v>4.0</v>
      </c>
      <c r="D12" s="132"/>
      <c r="E12" s="243" t="s">
        <v>392</v>
      </c>
      <c r="F12" s="244" t="s">
        <v>388</v>
      </c>
      <c r="G12" s="244" t="s">
        <v>388</v>
      </c>
      <c r="H12" s="244" t="s">
        <v>388</v>
      </c>
      <c r="I12" s="244" t="s">
        <v>388</v>
      </c>
      <c r="J12" s="244" t="s">
        <v>388</v>
      </c>
      <c r="K12" s="245">
        <v>2250.0</v>
      </c>
      <c r="L12" s="245">
        <f>$K$12*$L$7</f>
        <v>6750</v>
      </c>
      <c r="M12" s="246">
        <f t="shared" si="4"/>
        <v>108000</v>
      </c>
      <c r="N12" s="95"/>
    </row>
    <row r="13" outlineLevel="1">
      <c r="A13" s="67"/>
      <c r="B13" s="242"/>
      <c r="C13" s="250"/>
      <c r="D13" s="132"/>
      <c r="E13" s="243" t="s">
        <v>393</v>
      </c>
      <c r="F13" s="244" t="s">
        <v>388</v>
      </c>
      <c r="G13" s="244" t="s">
        <v>388</v>
      </c>
      <c r="H13" s="244" t="s">
        <v>388</v>
      </c>
      <c r="I13" s="244" t="s">
        <v>388</v>
      </c>
      <c r="J13" s="244" t="s">
        <v>388</v>
      </c>
      <c r="K13" s="245">
        <v>1350.0</v>
      </c>
      <c r="L13" s="245">
        <f>$K$13*$L$7</f>
        <v>4050</v>
      </c>
      <c r="M13" s="246">
        <f t="shared" si="4"/>
        <v>64800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394</v>
      </c>
      <c r="F14" s="244" t="s">
        <v>388</v>
      </c>
      <c r="G14" s="244" t="s">
        <v>388</v>
      </c>
      <c r="H14" s="244" t="s">
        <v>388</v>
      </c>
      <c r="I14" s="244" t="s">
        <v>388</v>
      </c>
      <c r="J14" s="244" t="s">
        <v>388</v>
      </c>
      <c r="K14" s="245">
        <v>1500.0</v>
      </c>
      <c r="L14" s="245">
        <f>$K$14*$L$7</f>
        <v>4500</v>
      </c>
      <c r="M14" s="246">
        <f t="shared" si="4"/>
        <v>72000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395</v>
      </c>
      <c r="F15" s="244" t="s">
        <v>388</v>
      </c>
      <c r="G15" s="244" t="s">
        <v>388</v>
      </c>
      <c r="H15" s="244" t="s">
        <v>388</v>
      </c>
      <c r="I15" s="244" t="s">
        <v>388</v>
      </c>
      <c r="J15" s="244" t="s">
        <v>388</v>
      </c>
      <c r="K15" s="245">
        <v>1125.0</v>
      </c>
      <c r="L15" s="245">
        <f>$K$15*$L$7</f>
        <v>3375</v>
      </c>
      <c r="M15" s="246">
        <f t="shared" si="4"/>
        <v>54000</v>
      </c>
      <c r="N15" s="95"/>
    </row>
    <row r="16" outlineLevel="1">
      <c r="A16" s="67"/>
      <c r="B16" s="108" t="s">
        <v>18</v>
      </c>
      <c r="C16" s="252" t="s">
        <v>396</v>
      </c>
      <c r="D16" s="132"/>
      <c r="E16" s="253" t="s">
        <v>397</v>
      </c>
      <c r="F16" s="244" t="s">
        <v>388</v>
      </c>
      <c r="G16" s="244" t="s">
        <v>388</v>
      </c>
      <c r="H16" s="244" t="s">
        <v>388</v>
      </c>
      <c r="I16" s="244" t="s">
        <v>388</v>
      </c>
      <c r="J16" s="244" t="s">
        <v>388</v>
      </c>
      <c r="K16" s="254">
        <v>2625.0</v>
      </c>
      <c r="L16" s="245">
        <f>$K$16*$L$7</f>
        <v>7875</v>
      </c>
      <c r="M16" s="255">
        <f t="shared" si="4"/>
        <v>126000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337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342</v>
      </c>
      <c r="F19" s="262" t="str">
        <f>'BC Pay-ins EMEA'!C23</f>
        <v>Yes</v>
      </c>
      <c r="G19" s="262" t="str">
        <f>'BC Pay-ins EMEA'!D23</f>
        <v>Yes</v>
      </c>
      <c r="H19" s="262" t="str">
        <f>'BC Pay-ins EMEA'!E23</f>
        <v>Yes</v>
      </c>
      <c r="I19" s="262" t="str">
        <f>'BC Pay-ins EMEA'!F23</f>
        <v>Yes</v>
      </c>
      <c r="J19" s="262" t="str">
        <f>'BC Pay-ins EMEA'!G23</f>
        <v>Yes</v>
      </c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398</v>
      </c>
      <c r="F20" s="264" t="str">
        <f t="shared" ref="F20:J20" si="5">if(F19="Yes","No","Yes")</f>
        <v>No</v>
      </c>
      <c r="G20" s="264" t="str">
        <f t="shared" si="5"/>
        <v>No</v>
      </c>
      <c r="H20" s="264" t="str">
        <f t="shared" si="5"/>
        <v>No</v>
      </c>
      <c r="I20" s="264" t="str">
        <f t="shared" si="5"/>
        <v>No</v>
      </c>
      <c r="J20" s="264" t="str">
        <f t="shared" si="5"/>
        <v>No</v>
      </c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399</v>
      </c>
      <c r="F21" s="265">
        <f t="shared" ref="F21:J21" si="6">if(F19="yes",1,2)</f>
        <v>1</v>
      </c>
      <c r="G21" s="265">
        <f t="shared" si="6"/>
        <v>1</v>
      </c>
      <c r="H21" s="265">
        <f t="shared" si="6"/>
        <v>1</v>
      </c>
      <c r="I21" s="265">
        <f t="shared" si="6"/>
        <v>1</v>
      </c>
      <c r="J21" s="265">
        <f t="shared" si="6"/>
        <v>1</v>
      </c>
      <c r="L21" s="263">
        <f>SUM(F21:J21)</f>
        <v>5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400</v>
      </c>
      <c r="F22" s="229">
        <f t="shared" ref="F22:J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>
        <f t="shared" si="7"/>
        <v>4</v>
      </c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383</v>
      </c>
      <c r="F23" s="233">
        <f t="shared" ref="F23:J23" si="8">F22*F21</f>
        <v>4</v>
      </c>
      <c r="G23" s="233">
        <f t="shared" si="8"/>
        <v>4</v>
      </c>
      <c r="H23" s="233">
        <f t="shared" si="8"/>
        <v>4</v>
      </c>
      <c r="I23" s="233">
        <f t="shared" si="8"/>
        <v>4</v>
      </c>
      <c r="J23" s="233">
        <f t="shared" si="8"/>
        <v>4</v>
      </c>
      <c r="K23" s="234"/>
      <c r="L23" s="266">
        <f>SUM(F23:J23)</f>
        <v>20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401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387</v>
      </c>
      <c r="F25" s="244" t="s">
        <v>388</v>
      </c>
      <c r="G25" s="244" t="s">
        <v>388</v>
      </c>
      <c r="H25" s="244" t="s">
        <v>388</v>
      </c>
      <c r="I25" s="244" t="s">
        <v>388</v>
      </c>
      <c r="J25" s="244" t="s">
        <v>388</v>
      </c>
      <c r="K25" s="269">
        <v>2250.0</v>
      </c>
      <c r="L25" s="269">
        <f>$K$25*$L$22</f>
        <v>9000</v>
      </c>
      <c r="M25" s="175">
        <f>$L$25*$L$21</f>
        <v>45000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390</v>
      </c>
      <c r="F26" s="244" t="s">
        <v>388</v>
      </c>
      <c r="G26" s="244" t="s">
        <v>388</v>
      </c>
      <c r="H26" s="244" t="s">
        <v>388</v>
      </c>
      <c r="I26" s="244" t="s">
        <v>388</v>
      </c>
      <c r="J26" s="244" t="s">
        <v>388</v>
      </c>
      <c r="K26" s="269">
        <v>10500.0</v>
      </c>
      <c r="L26" s="269">
        <f>$K$26*$L$22</f>
        <v>42000</v>
      </c>
      <c r="M26" s="175">
        <f>$L$26*$L$21</f>
        <v>210000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392</v>
      </c>
      <c r="F27" s="244" t="s">
        <v>388</v>
      </c>
      <c r="G27" s="244" t="s">
        <v>388</v>
      </c>
      <c r="H27" s="244" t="s">
        <v>388</v>
      </c>
      <c r="I27" s="244" t="s">
        <v>388</v>
      </c>
      <c r="J27" s="244" t="s">
        <v>388</v>
      </c>
      <c r="K27" s="269">
        <v>2250.0</v>
      </c>
      <c r="L27" s="269">
        <f>$K$27*$L$22</f>
        <v>9000</v>
      </c>
      <c r="M27" s="175">
        <f>$L$27*$L$21</f>
        <v>45000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393</v>
      </c>
      <c r="F28" s="244" t="s">
        <v>388</v>
      </c>
      <c r="G28" s="244" t="s">
        <v>388</v>
      </c>
      <c r="H28" s="244" t="s">
        <v>388</v>
      </c>
      <c r="I28" s="244" t="s">
        <v>388</v>
      </c>
      <c r="J28" s="244" t="s">
        <v>388</v>
      </c>
      <c r="K28" s="269">
        <v>1350.0</v>
      </c>
      <c r="L28" s="269">
        <f>$K$28*$L$22</f>
        <v>5400</v>
      </c>
      <c r="M28" s="175">
        <f>$L$28*$L$21</f>
        <v>27000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394</v>
      </c>
      <c r="F29" s="244" t="s">
        <v>388</v>
      </c>
      <c r="G29" s="244" t="s">
        <v>388</v>
      </c>
      <c r="H29" s="244" t="s">
        <v>388</v>
      </c>
      <c r="I29" s="244" t="s">
        <v>388</v>
      </c>
      <c r="J29" s="244" t="s">
        <v>388</v>
      </c>
      <c r="K29" s="269">
        <v>1500.0</v>
      </c>
      <c r="L29" s="269">
        <f>$K$29*$L$22</f>
        <v>6000</v>
      </c>
      <c r="M29" s="175">
        <f>$L$29*$L$21</f>
        <v>30000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395</v>
      </c>
      <c r="F30" s="244" t="s">
        <v>388</v>
      </c>
      <c r="G30" s="244" t="s">
        <v>388</v>
      </c>
      <c r="H30" s="244" t="s">
        <v>388</v>
      </c>
      <c r="I30" s="244" t="s">
        <v>388</v>
      </c>
      <c r="J30" s="244" t="s">
        <v>388</v>
      </c>
      <c r="K30" s="269">
        <v>1125.0</v>
      </c>
      <c r="L30" s="269">
        <f>$K$30*$L$22</f>
        <v>4500</v>
      </c>
      <c r="M30" s="175">
        <f>$L$30*$L$21</f>
        <v>22500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397</v>
      </c>
      <c r="F31" s="270" t="s">
        <v>388</v>
      </c>
      <c r="G31" s="270" t="s">
        <v>388</v>
      </c>
      <c r="H31" s="270" t="s">
        <v>388</v>
      </c>
      <c r="I31" s="270" t="s">
        <v>388</v>
      </c>
      <c r="J31" s="270" t="s">
        <v>388</v>
      </c>
      <c r="K31" s="271">
        <v>2625.0</v>
      </c>
      <c r="L31" s="269">
        <f>$K$31*$L$22</f>
        <v>10500</v>
      </c>
      <c r="M31" s="175">
        <f>$L$31*$L$21</f>
        <v>52500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402</v>
      </c>
      <c r="F33" s="273" t="s">
        <v>353</v>
      </c>
      <c r="G33" s="273" t="s">
        <v>403</v>
      </c>
      <c r="H33" s="274" t="s">
        <v>404</v>
      </c>
      <c r="J33" s="272" t="s">
        <v>405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387</v>
      </c>
      <c r="F34" s="269">
        <f t="shared" ref="F34:F40" si="9">M10</f>
        <v>108000</v>
      </c>
      <c r="G34" s="269">
        <f t="shared" ref="G34:G40" si="10">M25</f>
        <v>45000</v>
      </c>
      <c r="H34" s="275">
        <f t="shared" ref="H34:H40" si="11">SUM(F34:G34)</f>
        <v>153000</v>
      </c>
      <c r="I34" s="276" t="s">
        <v>20</v>
      </c>
      <c r="J34" s="169" t="s">
        <v>386</v>
      </c>
      <c r="K34" s="277">
        <f>($L$6*$L$7)+($L$21*$L$22)</f>
        <v>68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390</v>
      </c>
      <c r="F35" s="269">
        <f t="shared" si="9"/>
        <v>504000</v>
      </c>
      <c r="G35" s="269">
        <f t="shared" si="10"/>
        <v>210000</v>
      </c>
      <c r="H35" s="275">
        <f t="shared" si="11"/>
        <v>714000</v>
      </c>
      <c r="I35" s="276" t="s">
        <v>20</v>
      </c>
      <c r="J35" s="169" t="s">
        <v>406</v>
      </c>
      <c r="K35" s="279">
        <f>round(K34/12,0)</f>
        <v>6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392</v>
      </c>
      <c r="F36" s="269">
        <f t="shared" si="9"/>
        <v>108000</v>
      </c>
      <c r="G36" s="269">
        <f t="shared" si="10"/>
        <v>45000</v>
      </c>
      <c r="H36" s="275">
        <f t="shared" si="11"/>
        <v>153000</v>
      </c>
      <c r="I36" s="276" t="s">
        <v>20</v>
      </c>
      <c r="J36" s="280" t="s">
        <v>407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393</v>
      </c>
      <c r="F37" s="269">
        <f t="shared" si="9"/>
        <v>64800</v>
      </c>
      <c r="G37" s="269">
        <f t="shared" si="10"/>
        <v>27000</v>
      </c>
      <c r="H37" s="275">
        <f t="shared" si="11"/>
        <v>91800</v>
      </c>
      <c r="I37" s="276" t="s">
        <v>20</v>
      </c>
      <c r="J37" s="169" t="s">
        <v>386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394</v>
      </c>
      <c r="F38" s="269">
        <f t="shared" si="9"/>
        <v>72000</v>
      </c>
      <c r="G38" s="269">
        <f t="shared" si="10"/>
        <v>30000</v>
      </c>
      <c r="H38" s="275">
        <f t="shared" si="11"/>
        <v>102000</v>
      </c>
      <c r="I38" s="276" t="s">
        <v>20</v>
      </c>
      <c r="J38" s="281" t="s">
        <v>408</v>
      </c>
      <c r="K38" s="282">
        <f>K34-K37</f>
        <v>66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395</v>
      </c>
      <c r="F39" s="269">
        <f t="shared" si="9"/>
        <v>54000</v>
      </c>
      <c r="G39" s="269">
        <f t="shared" si="10"/>
        <v>22500</v>
      </c>
      <c r="H39" s="275">
        <f t="shared" si="11"/>
        <v>76500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397</v>
      </c>
      <c r="F40" s="269">
        <f t="shared" si="9"/>
        <v>126000</v>
      </c>
      <c r="G40" s="269">
        <f t="shared" si="10"/>
        <v>52500</v>
      </c>
      <c r="H40" s="275">
        <f t="shared" si="11"/>
        <v>178500</v>
      </c>
      <c r="I40" s="276" t="s">
        <v>20</v>
      </c>
      <c r="J40" s="283" t="s">
        <v>409</v>
      </c>
      <c r="K40" s="284">
        <f>K38</f>
        <v>66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402</v>
      </c>
      <c r="F41" s="273">
        <f t="shared" ref="F41:G41" si="12">SUM(F34:F40)</f>
        <v>1036800</v>
      </c>
      <c r="G41" s="273">
        <f t="shared" si="12"/>
        <v>432000</v>
      </c>
      <c r="H41" s="285">
        <f>SUM(H34:H40)/1000000</f>
        <v>1.4688</v>
      </c>
      <c r="I41" s="276" t="s">
        <v>20</v>
      </c>
      <c r="J41" s="283" t="s">
        <v>410</v>
      </c>
      <c r="K41" s="277" t="str">
        <f>CONCATENATE(ROUNDUP(K42,2)," ","years")</f>
        <v>5.5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5.5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433</v>
      </c>
      <c r="D3" s="136" t="s">
        <v>434</v>
      </c>
      <c r="E3" s="136" t="s">
        <v>435</v>
      </c>
      <c r="F3" s="136" t="s">
        <v>436</v>
      </c>
      <c r="G3" s="136"/>
      <c r="H3" s="137" t="s">
        <v>317</v>
      </c>
      <c r="I3" s="130"/>
      <c r="J3" s="137" t="s">
        <v>318</v>
      </c>
      <c r="K3" s="137" t="s">
        <v>318</v>
      </c>
      <c r="L3" s="130"/>
      <c r="M3" s="138" t="s">
        <v>319</v>
      </c>
      <c r="N3" s="67"/>
      <c r="O3" s="67"/>
    </row>
    <row r="4">
      <c r="A4" s="132"/>
      <c r="B4" s="116" t="s">
        <v>320</v>
      </c>
      <c r="C4" s="139">
        <v>0.0682</v>
      </c>
      <c r="D4" s="139">
        <v>0.0204</v>
      </c>
      <c r="E4" s="139">
        <v>0.0182</v>
      </c>
      <c r="F4" s="139">
        <v>0.0144</v>
      </c>
      <c r="G4" s="139"/>
      <c r="H4" s="287">
        <f>SUM(C4:G4)</f>
        <v>0.1212</v>
      </c>
      <c r="I4" s="130"/>
      <c r="J4" s="130"/>
      <c r="K4" s="141"/>
      <c r="L4" s="130"/>
      <c r="M4" s="141" t="s">
        <v>321</v>
      </c>
      <c r="N4" s="67"/>
      <c r="O4" s="67"/>
    </row>
    <row r="5">
      <c r="A5" s="132"/>
      <c r="B5" s="142" t="s">
        <v>322</v>
      </c>
      <c r="C5" s="143">
        <f>C4*RESUMEN!$C$13</f>
        <v>40920000</v>
      </c>
      <c r="D5" s="143">
        <f>D4*RESUMEN!$C$13</f>
        <v>12240000</v>
      </c>
      <c r="E5" s="143">
        <f>E4*RESUMEN!$C$13</f>
        <v>10920000</v>
      </c>
      <c r="F5" s="143">
        <f>F4*RESUMEN!$C$13</f>
        <v>8640000</v>
      </c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323</v>
      </c>
      <c r="C6" s="146">
        <v>0.1</v>
      </c>
      <c r="D6" s="146">
        <v>0.1</v>
      </c>
      <c r="E6" s="146">
        <v>0.1</v>
      </c>
      <c r="F6" s="146">
        <v>0.1</v>
      </c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324</v>
      </c>
      <c r="C7" s="148">
        <f>VLOOKUP(RESUMEN!$C$4,'Aceptance Rate Delta per Indust'!$B$3:$K$40,9,false)</f>
        <v>0.1</v>
      </c>
      <c r="D7" s="148">
        <f>VLOOKUP(RESUMEN!$C$4,'Aceptance Rate Delta per Indust'!$B$3:$K$40,9,false)</f>
        <v>0.1</v>
      </c>
      <c r="E7" s="148">
        <f>VLOOKUP(RESUMEN!$C$4,'Aceptance Rate Delta per Indust'!$B$3:$K$40,9,false)</f>
        <v>0.1</v>
      </c>
      <c r="F7" s="148">
        <f>VLOOKUP(RESUMEN!$C$4,'Aceptance Rate Delta per Indust'!$B$3:$K$40,9,false)</f>
        <v>0.1</v>
      </c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325</v>
      </c>
      <c r="C8" s="150">
        <f>VLOOKUP(RESUMEN!$C$4,'Aceptance Rate Delta per Indust'!$B$3:$K$40,10,false)</f>
        <v>0.7</v>
      </c>
      <c r="D8" s="150">
        <f>VLOOKUP(RESUMEN!$C$4,'Aceptance Rate Delta per Indust'!$B$3:$K$40,10,false)</f>
        <v>0.7</v>
      </c>
      <c r="E8" s="150">
        <f>VLOOKUP(RESUMEN!$C$4,'Aceptance Rate Delta per Indust'!$B$3:$K$40,10,false)</f>
        <v>0.7</v>
      </c>
      <c r="F8" s="150">
        <f>VLOOKUP(RESUMEN!$C$4,'Aceptance Rate Delta per Indust'!$B$3:$K$40,10,false)</f>
        <v>0.7</v>
      </c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326</v>
      </c>
      <c r="C9" s="143">
        <f t="shared" ref="C9:F9" si="1">(ROUND(C5*C6,0))</f>
        <v>4092000</v>
      </c>
      <c r="D9" s="143">
        <f t="shared" si="1"/>
        <v>1224000</v>
      </c>
      <c r="E9" s="143">
        <f t="shared" si="1"/>
        <v>1092000</v>
      </c>
      <c r="F9" s="143">
        <f t="shared" si="1"/>
        <v>864000</v>
      </c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327</v>
      </c>
      <c r="C10" s="151">
        <v>20.0</v>
      </c>
      <c r="D10" s="151">
        <v>20.0</v>
      </c>
      <c r="E10" s="151">
        <v>20.0</v>
      </c>
      <c r="F10" s="151">
        <v>20.0</v>
      </c>
      <c r="G10" s="151"/>
      <c r="H10" s="95"/>
      <c r="I10" s="152"/>
      <c r="J10" s="152"/>
      <c r="K10" s="152"/>
      <c r="L10" s="152"/>
      <c r="M10" s="152" t="s">
        <v>328</v>
      </c>
      <c r="N10" s="67"/>
      <c r="O10" s="67"/>
    </row>
    <row r="11" outlineLevel="1">
      <c r="A11" s="132"/>
      <c r="B11" s="153" t="s">
        <v>329</v>
      </c>
      <c r="C11" s="154">
        <f>(RESUMEN!$C$13*C4*C6*C10)/1000000</f>
        <v>81.84</v>
      </c>
      <c r="D11" s="154">
        <f>(RESUMEN!$C$13*D4*D6*D10)/1000000</f>
        <v>24.48</v>
      </c>
      <c r="E11" s="154">
        <f>(RESUMEN!$C$13*E4*E6*E10)/1000000</f>
        <v>21.84</v>
      </c>
      <c r="F11" s="154">
        <f>(RESUMEN!$C$13*F4*F6*F10)/1000000</f>
        <v>17.28</v>
      </c>
      <c r="G11" s="154"/>
      <c r="H11" s="288">
        <f>SUM(C11:G11)</f>
        <v>145.44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330</v>
      </c>
      <c r="C12" s="156">
        <v>1.0</v>
      </c>
      <c r="D12" s="156">
        <v>1.0</v>
      </c>
      <c r="E12" s="156">
        <v>0.95</v>
      </c>
      <c r="F12" s="156">
        <v>1.0</v>
      </c>
      <c r="G12" s="156"/>
      <c r="H12" s="95"/>
      <c r="K12" s="152"/>
      <c r="M12" s="152" t="s">
        <v>331</v>
      </c>
      <c r="N12" s="67"/>
      <c r="O12" s="67"/>
    </row>
    <row r="13">
      <c r="A13" s="132"/>
      <c r="B13" s="153" t="s">
        <v>332</v>
      </c>
      <c r="C13" s="157">
        <f t="shared" ref="C13:F13" si="2">(C12*C11)</f>
        <v>81.84</v>
      </c>
      <c r="D13" s="157">
        <f t="shared" si="2"/>
        <v>24.48</v>
      </c>
      <c r="E13" s="157">
        <f t="shared" si="2"/>
        <v>20.748</v>
      </c>
      <c r="F13" s="157">
        <f t="shared" si="2"/>
        <v>17.28</v>
      </c>
      <c r="G13" s="157"/>
      <c r="H13" s="158">
        <f>SUM(C13:G13)</f>
        <v>144.348</v>
      </c>
      <c r="K13" s="152"/>
      <c r="M13" s="152" t="s">
        <v>333</v>
      </c>
      <c r="N13" s="95"/>
      <c r="O13" s="95"/>
    </row>
    <row r="14">
      <c r="A14" s="132"/>
      <c r="B14" s="133" t="s">
        <v>334</v>
      </c>
      <c r="C14" s="159">
        <f t="shared" ref="C14:F14" si="3">1-C12</f>
        <v>0</v>
      </c>
      <c r="D14" s="159">
        <f t="shared" si="3"/>
        <v>0</v>
      </c>
      <c r="E14" s="159">
        <f t="shared" si="3"/>
        <v>0.05</v>
      </c>
      <c r="F14" s="159">
        <f t="shared" si="3"/>
        <v>0</v>
      </c>
      <c r="G14" s="159"/>
      <c r="H14" s="95"/>
      <c r="K14" s="152"/>
      <c r="M14" s="152" t="s">
        <v>335</v>
      </c>
      <c r="N14" s="95"/>
      <c r="O14" s="95"/>
    </row>
    <row r="15">
      <c r="A15" s="132"/>
      <c r="B15" s="160" t="s">
        <v>336</v>
      </c>
      <c r="C15" s="161">
        <f t="shared" ref="C15:F15" si="4">C14*C11</f>
        <v>0</v>
      </c>
      <c r="D15" s="161">
        <f t="shared" si="4"/>
        <v>0</v>
      </c>
      <c r="E15" s="161">
        <f t="shared" si="4"/>
        <v>1.092</v>
      </c>
      <c r="F15" s="161">
        <f t="shared" si="4"/>
        <v>0</v>
      </c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337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338</v>
      </c>
      <c r="C18" s="166">
        <v>0.04</v>
      </c>
      <c r="D18" s="166">
        <v>0.06</v>
      </c>
      <c r="E18" s="166">
        <v>0.04</v>
      </c>
      <c r="F18" s="166">
        <v>0.06</v>
      </c>
      <c r="G18" s="166"/>
      <c r="H18" s="167" t="s">
        <v>20</v>
      </c>
      <c r="K18" s="168"/>
      <c r="M18" s="168"/>
      <c r="N18" s="95"/>
      <c r="O18" s="95"/>
    </row>
    <row r="19">
      <c r="A19" s="132"/>
      <c r="B19" s="169" t="s">
        <v>339</v>
      </c>
      <c r="C19" s="170">
        <f t="shared" ref="C19:F19" si="5">C13*C18</f>
        <v>3.2736</v>
      </c>
      <c r="D19" s="170">
        <f t="shared" si="5"/>
        <v>1.4688</v>
      </c>
      <c r="E19" s="170">
        <f t="shared" si="5"/>
        <v>0.82992</v>
      </c>
      <c r="F19" s="170">
        <f t="shared" si="5"/>
        <v>1.0368</v>
      </c>
      <c r="G19" s="170"/>
      <c r="H19" s="171">
        <f t="shared" ref="H19:H20" si="6">SUM(C19:G19)</f>
        <v>6.60912</v>
      </c>
      <c r="J19" s="171">
        <f t="shared" ref="J19:J20" si="7">rounddown(H19-1,0)</f>
        <v>5</v>
      </c>
      <c r="K19" s="171">
        <f t="shared" ref="K19:K20" si="8">ROUNDUP(H19-1,0)+1</f>
        <v>7</v>
      </c>
      <c r="M19" s="152" t="s">
        <v>333</v>
      </c>
      <c r="N19" s="95"/>
      <c r="O19" s="95"/>
    </row>
    <row r="20">
      <c r="A20" s="132"/>
      <c r="B20" s="172" t="s">
        <v>340</v>
      </c>
      <c r="C20" s="173">
        <f>C19*RESUMEN!$C$15</f>
        <v>1.96416</v>
      </c>
      <c r="D20" s="173">
        <f>D19*RESUMEN!$C$15</f>
        <v>0.88128</v>
      </c>
      <c r="E20" s="173">
        <f>E19*RESUMEN!$C$15</f>
        <v>0.497952</v>
      </c>
      <c r="F20" s="173">
        <f>F19*RESUMEN!$C$15</f>
        <v>0.62208</v>
      </c>
      <c r="G20" s="173"/>
      <c r="H20" s="300">
        <f t="shared" si="6"/>
        <v>3.965472</v>
      </c>
      <c r="J20" s="171">
        <f t="shared" si="7"/>
        <v>2</v>
      </c>
      <c r="K20" s="171">
        <f t="shared" si="8"/>
        <v>4</v>
      </c>
      <c r="M20" s="152" t="s">
        <v>333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341</v>
      </c>
      <c r="C22" s="177">
        <f t="shared" ref="C22:F22" si="9">C$11*C12+C19</f>
        <v>85.1136</v>
      </c>
      <c r="D22" s="177">
        <f t="shared" si="9"/>
        <v>25.9488</v>
      </c>
      <c r="E22" s="177">
        <f t="shared" si="9"/>
        <v>21.57792</v>
      </c>
      <c r="F22" s="177">
        <f t="shared" si="9"/>
        <v>18.3168</v>
      </c>
      <c r="G22" s="177"/>
      <c r="H22" s="67"/>
      <c r="K22" s="130"/>
      <c r="M22" s="130"/>
      <c r="N22" s="95"/>
      <c r="O22" s="95"/>
    </row>
    <row r="23">
      <c r="A23" s="132"/>
      <c r="B23" s="178" t="s">
        <v>342</v>
      </c>
      <c r="C23" s="179" t="s">
        <v>413</v>
      </c>
      <c r="D23" s="180" t="s">
        <v>437</v>
      </c>
      <c r="E23" s="180" t="s">
        <v>413</v>
      </c>
      <c r="F23" s="180" t="s">
        <v>437</v>
      </c>
      <c r="G23" s="180"/>
      <c r="H23" s="67"/>
      <c r="K23" s="152"/>
      <c r="M23" s="152" t="s">
        <v>344</v>
      </c>
      <c r="N23" s="67"/>
      <c r="O23" s="67"/>
    </row>
    <row r="24">
      <c r="A24" s="132"/>
      <c r="B24" s="181" t="s">
        <v>345</v>
      </c>
      <c r="C24" s="148">
        <f>if(C23="Yes",VLOOKUP(RESUMEN!$C$4,'Aceptance Rate Delta per Indust'!$B$3:$G$40,5,FALSE),VLOOKUP(RESUMEN!$C$4,'Aceptance Rate Delta per Indust'!$B$3:$G$40,6,FALSE))</f>
        <v>0.028</v>
      </c>
      <c r="D24" s="148">
        <f>if(D23="Yes",VLOOKUP(RESUMEN!$C$4,'Aceptance Rate Delta per Indust'!$B$3:$G$40,5,FALSE),VLOOKUP(RESUMEN!$C$4,'Aceptance Rate Delta per Indust'!$B$3:$G$40,6,FALSE))</f>
        <v>0.06</v>
      </c>
      <c r="E24" s="148">
        <f>if(E23="Yes",VLOOKUP(RESUMEN!$C$4,'Aceptance Rate Delta per Indust'!$B$3:$G$40,5,FALSE),VLOOKUP(RESUMEN!$C$4,'Aceptance Rate Delta per Indust'!$B$3:$G$40,6,FALSE))</f>
        <v>0.028</v>
      </c>
      <c r="F24" s="148">
        <f>if(F23="Yes",VLOOKUP(RESUMEN!$C$4,'Aceptance Rate Delta per Indust'!$B$3:$G$40,5,FALSE),VLOOKUP(RESUMEN!$C$4,'Aceptance Rate Delta per Indust'!$B$3:$G$40,6,FALSE))</f>
        <v>0.06</v>
      </c>
      <c r="G24" s="148"/>
      <c r="H24" s="67"/>
      <c r="I24" s="130"/>
      <c r="J24" s="130"/>
      <c r="K24" s="141"/>
      <c r="L24" s="130"/>
      <c r="M24" s="141" t="s">
        <v>346</v>
      </c>
      <c r="N24" s="67"/>
      <c r="O24" s="67"/>
    </row>
    <row r="25">
      <c r="A25" s="127"/>
      <c r="B25" s="182" t="s">
        <v>347</v>
      </c>
      <c r="C25" s="183">
        <f t="shared" ref="C25:F25" si="10">IFS(C23="Yes",-0.2%,C23="No",-1%)</f>
        <v>-0.002</v>
      </c>
      <c r="D25" s="183">
        <f t="shared" si="10"/>
        <v>-0.01</v>
      </c>
      <c r="E25" s="183">
        <f t="shared" si="10"/>
        <v>-0.002</v>
      </c>
      <c r="F25" s="183">
        <f t="shared" si="10"/>
        <v>-0.01</v>
      </c>
      <c r="G25" s="183"/>
      <c r="H25" s="67"/>
      <c r="I25" s="130"/>
      <c r="J25" s="130"/>
      <c r="K25" s="141"/>
      <c r="L25" s="130"/>
      <c r="M25" s="141" t="s">
        <v>348</v>
      </c>
      <c r="N25" s="67"/>
      <c r="O25" s="67"/>
    </row>
    <row r="26">
      <c r="A26" s="127"/>
      <c r="B26" s="184" t="s">
        <v>349</v>
      </c>
      <c r="C26" s="185">
        <f t="shared" ref="C26:F26" si="11">C24+C25</f>
        <v>0.026</v>
      </c>
      <c r="D26" s="185">
        <f t="shared" si="11"/>
        <v>0.05</v>
      </c>
      <c r="E26" s="185">
        <f t="shared" si="11"/>
        <v>0.026</v>
      </c>
      <c r="F26" s="185">
        <f t="shared" si="11"/>
        <v>0.05</v>
      </c>
      <c r="G26" s="185"/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350</v>
      </c>
      <c r="C27" s="187">
        <f t="shared" ref="C27:F27" si="12">C25*C22*-1</f>
        <v>0.1702272</v>
      </c>
      <c r="D27" s="187">
        <f t="shared" si="12"/>
        <v>0.259488</v>
      </c>
      <c r="E27" s="188">
        <f t="shared" si="12"/>
        <v>0.04315584</v>
      </c>
      <c r="F27" s="187">
        <f t="shared" si="12"/>
        <v>0.183168</v>
      </c>
      <c r="G27" s="187"/>
      <c r="H27" s="301">
        <f>SUM(C27:G27)</f>
        <v>0.65603904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333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351</v>
      </c>
      <c r="C29" s="190">
        <f t="shared" ref="C29:F29" si="13">C27+C20</f>
        <v>2.1343872</v>
      </c>
      <c r="D29" s="190">
        <f t="shared" si="13"/>
        <v>1.140768</v>
      </c>
      <c r="E29" s="191">
        <f t="shared" si="13"/>
        <v>0.54110784</v>
      </c>
      <c r="F29" s="190">
        <f t="shared" si="13"/>
        <v>0.805248</v>
      </c>
      <c r="G29" s="190"/>
      <c r="H29" s="192">
        <f>SUM(C29:G29)</f>
        <v>4.62151104</v>
      </c>
      <c r="I29" s="168"/>
      <c r="J29" s="168" t="s">
        <v>20</v>
      </c>
      <c r="K29" s="141"/>
      <c r="L29" s="168"/>
      <c r="M29" s="141" t="s">
        <v>352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353</v>
      </c>
      <c r="C31" s="194" t="s">
        <v>438</v>
      </c>
      <c r="D31" s="194" t="s">
        <v>439</v>
      </c>
      <c r="E31" s="194" t="s">
        <v>440</v>
      </c>
      <c r="F31" s="194" t="s">
        <v>441</v>
      </c>
      <c r="G31" s="194"/>
      <c r="H31" s="175"/>
      <c r="I31" s="195"/>
      <c r="J31" s="195"/>
      <c r="K31" s="141"/>
      <c r="L31" s="195"/>
      <c r="M31" s="141" t="s">
        <v>359</v>
      </c>
      <c r="N31" s="67"/>
      <c r="O31" s="67"/>
    </row>
    <row r="32">
      <c r="A32" s="127"/>
      <c r="B32" s="176" t="s">
        <v>360</v>
      </c>
      <c r="C32" s="177">
        <f t="shared" ref="C32:F32" si="14">C11*C14</f>
        <v>0</v>
      </c>
      <c r="D32" s="177">
        <f t="shared" si="14"/>
        <v>0</v>
      </c>
      <c r="E32" s="177">
        <f t="shared" si="14"/>
        <v>1.092</v>
      </c>
      <c r="F32" s="177">
        <f t="shared" si="14"/>
        <v>0</v>
      </c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361</v>
      </c>
      <c r="C33" s="179">
        <v>0.0</v>
      </c>
      <c r="D33" s="179">
        <v>0.0</v>
      </c>
      <c r="E33" s="179">
        <v>1.0</v>
      </c>
      <c r="F33" s="179">
        <v>0.0</v>
      </c>
      <c r="G33" s="179"/>
      <c r="H33" s="175"/>
      <c r="I33" s="193"/>
      <c r="J33" s="193"/>
      <c r="K33" s="141"/>
      <c r="L33" s="193"/>
      <c r="M33" s="141" t="s">
        <v>362</v>
      </c>
      <c r="N33" s="67"/>
      <c r="O33" s="67"/>
    </row>
    <row r="34">
      <c r="A34" s="70" t="s">
        <v>416</v>
      </c>
      <c r="B34" s="197" t="s">
        <v>363</v>
      </c>
      <c r="C34" s="198">
        <v>3.0</v>
      </c>
      <c r="D34" s="198">
        <v>4.0</v>
      </c>
      <c r="E34" s="198">
        <v>3.0</v>
      </c>
      <c r="F34" s="198">
        <v>3.0</v>
      </c>
      <c r="G34" s="198"/>
      <c r="H34" s="175"/>
      <c r="I34" s="193"/>
      <c r="J34" s="193"/>
      <c r="K34" s="141"/>
      <c r="L34" s="193"/>
      <c r="M34" s="141" t="s">
        <v>364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416</v>
      </c>
      <c r="B36" s="197" t="s">
        <v>365</v>
      </c>
      <c r="C36" s="200">
        <v>0.18</v>
      </c>
      <c r="D36" s="200">
        <v>0.1</v>
      </c>
      <c r="E36" s="200">
        <v>0.04</v>
      </c>
      <c r="F36" s="200">
        <v>0.08</v>
      </c>
      <c r="G36" s="200"/>
      <c r="I36" s="193"/>
      <c r="J36" s="193"/>
      <c r="K36" s="141"/>
      <c r="L36" s="193"/>
      <c r="M36" s="141" t="s">
        <v>366</v>
      </c>
      <c r="N36" s="67"/>
      <c r="O36" s="67"/>
    </row>
    <row r="37">
      <c r="A37" s="127"/>
      <c r="B37" s="201" t="s">
        <v>367</v>
      </c>
      <c r="C37" s="202">
        <f t="shared" ref="C37:F37" si="15">((1+C35)+(1+C36)-1)*C11-C11</f>
        <v>14.7312</v>
      </c>
      <c r="D37" s="202">
        <f t="shared" si="15"/>
        <v>2.448</v>
      </c>
      <c r="E37" s="202">
        <f t="shared" si="15"/>
        <v>0.8736</v>
      </c>
      <c r="F37" s="202">
        <f t="shared" si="15"/>
        <v>1.3824</v>
      </c>
      <c r="G37" s="202"/>
      <c r="H37" s="202">
        <f>SUM(C37:G37)</f>
        <v>19.4352</v>
      </c>
      <c r="I37" s="130"/>
      <c r="J37" s="171">
        <f>rounddown(H37-1,0)</f>
        <v>18</v>
      </c>
      <c r="K37" s="171">
        <f>ROUNDUP(H37-1,0)+1</f>
        <v>20</v>
      </c>
      <c r="L37" s="130"/>
      <c r="M37" s="152" t="s">
        <v>333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368</v>
      </c>
      <c r="C39" s="205">
        <f>C37*RESUMEN!$C$15</f>
        <v>8.83872</v>
      </c>
      <c r="D39" s="205">
        <f>D37*RESUMEN!$C$15</f>
        <v>1.4688</v>
      </c>
      <c r="E39" s="205">
        <f>E37*RESUMEN!$C$15</f>
        <v>0.52416</v>
      </c>
      <c r="F39" s="205">
        <f>F37*RESUMEN!$C$15</f>
        <v>0.82944</v>
      </c>
      <c r="G39" s="205"/>
      <c r="H39" s="302">
        <f>SUM(C39:G39)</f>
        <v>11.66112</v>
      </c>
      <c r="I39" s="189"/>
      <c r="J39" s="171">
        <f>rounddown(H39-1,0)</f>
        <v>10</v>
      </c>
      <c r="K39" s="171">
        <f>ROUNDUP(H39-1,0)+1</f>
        <v>12</v>
      </c>
      <c r="L39" s="189"/>
      <c r="M39" s="152" t="s">
        <v>333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369</v>
      </c>
      <c r="C41" s="206">
        <v>0.07</v>
      </c>
      <c r="D41" s="206">
        <v>0.04</v>
      </c>
      <c r="E41" s="206">
        <v>0.02</v>
      </c>
      <c r="F41" s="206">
        <v>0.03</v>
      </c>
      <c r="G41" s="206"/>
      <c r="H41" s="175"/>
      <c r="I41" s="193"/>
      <c r="J41" s="193"/>
      <c r="K41" s="141"/>
      <c r="L41" s="193"/>
      <c r="M41" s="141" t="s">
        <v>370</v>
      </c>
      <c r="N41" s="67"/>
      <c r="O41" s="67"/>
    </row>
    <row r="42">
      <c r="A42" s="127"/>
      <c r="B42" s="207" t="s">
        <v>371</v>
      </c>
      <c r="C42" s="208">
        <f t="shared" ref="C42:F42" si="16">C41*C11</f>
        <v>5.7288</v>
      </c>
      <c r="D42" s="208">
        <f t="shared" si="16"/>
        <v>0.9792</v>
      </c>
      <c r="E42" s="208">
        <f t="shared" si="16"/>
        <v>0.4368</v>
      </c>
      <c r="F42" s="208">
        <f t="shared" si="16"/>
        <v>0.5184</v>
      </c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372</v>
      </c>
      <c r="C44" s="209">
        <f t="shared" ref="C44:F44" si="17">C24</f>
        <v>0.028</v>
      </c>
      <c r="D44" s="209">
        <f t="shared" si="17"/>
        <v>0.06</v>
      </c>
      <c r="E44" s="209">
        <f t="shared" si="17"/>
        <v>0.028</v>
      </c>
      <c r="F44" s="209">
        <f t="shared" si="17"/>
        <v>0.06</v>
      </c>
      <c r="G44" s="209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373</v>
      </c>
      <c r="C45" s="211">
        <v>0.012</v>
      </c>
      <c r="D45" s="211">
        <v>0.012</v>
      </c>
      <c r="E45" s="211">
        <v>0.012</v>
      </c>
      <c r="F45" s="211">
        <v>0.012</v>
      </c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374</v>
      </c>
      <c r="C47" s="202">
        <f t="shared" ref="C47:F47" si="18">(C42+C37)*(C44-C45)</f>
        <v>0.32736</v>
      </c>
      <c r="D47" s="202">
        <f t="shared" si="18"/>
        <v>0.1645056</v>
      </c>
      <c r="E47" s="202">
        <f t="shared" si="18"/>
        <v>0.0209664</v>
      </c>
      <c r="F47" s="202">
        <f t="shared" si="18"/>
        <v>0.0912384</v>
      </c>
      <c r="G47" s="202"/>
      <c r="H47" s="302">
        <f>SUM(C47:G47)</f>
        <v>0.6040704</v>
      </c>
      <c r="I47" s="189"/>
      <c r="J47" s="212">
        <f>if(H47&gt;1,ROUNDUP(H47-1,0),H47)</f>
        <v>0.6040704</v>
      </c>
      <c r="K47" s="212">
        <f>if(H47&gt;1,ROUNDUP(H47-1,0),H47)+2</f>
        <v>2.6040704</v>
      </c>
      <c r="L47" s="189"/>
      <c r="M47" s="152" t="s">
        <v>333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375</v>
      </c>
      <c r="C49" s="213">
        <f t="shared" ref="C49:F49" si="19">C47+C39</f>
        <v>9.16608</v>
      </c>
      <c r="D49" s="213">
        <f t="shared" si="19"/>
        <v>1.6333056</v>
      </c>
      <c r="E49" s="213">
        <f t="shared" si="19"/>
        <v>0.5451264</v>
      </c>
      <c r="F49" s="213">
        <f t="shared" si="19"/>
        <v>0.9206784</v>
      </c>
      <c r="G49" s="213"/>
      <c r="H49" s="214">
        <f>SUM(C49:G49)</f>
        <v>12.2651904</v>
      </c>
      <c r="I49" s="193"/>
      <c r="J49" s="193"/>
      <c r="K49" s="141"/>
      <c r="L49" s="193"/>
      <c r="M49" s="141" t="s">
        <v>376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442</v>
      </c>
      <c r="D2" s="132"/>
      <c r="E2" s="133"/>
      <c r="F2" s="134" t="s">
        <v>377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'BC Pay-ins APAC'!C3</f>
        <v>India</v>
      </c>
      <c r="G3" s="299" t="str">
        <f>'BC Pay-ins APAC'!D3</f>
        <v>Indonesia</v>
      </c>
      <c r="H3" s="299" t="str">
        <f>'BC Pay-ins APAC'!E3</f>
        <v>Australia</v>
      </c>
      <c r="I3" s="299" t="str">
        <f>'BC Pay-ins APAC'!F3</f>
        <v>Vietnam</v>
      </c>
      <c r="J3" s="299" t="str">
        <f>'BC Pay-ins APAC'!G3</f>
        <v/>
      </c>
      <c r="K3" s="137" t="s">
        <v>378</v>
      </c>
      <c r="L3" s="137" t="s">
        <v>379</v>
      </c>
      <c r="M3" s="137" t="s">
        <v>380</v>
      </c>
      <c r="N3" s="67"/>
      <c r="O3" s="67"/>
      <c r="P3" s="67"/>
      <c r="Q3" s="67"/>
    </row>
    <row r="4">
      <c r="A4" s="67"/>
      <c r="B4" s="218" t="s">
        <v>84</v>
      </c>
      <c r="C4" s="219" t="s">
        <v>9</v>
      </c>
      <c r="D4" s="132"/>
      <c r="E4" s="222" t="s">
        <v>353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443</v>
      </c>
      <c r="Q4" s="67"/>
    </row>
    <row r="5">
      <c r="A5" s="67"/>
      <c r="B5" s="224" t="s">
        <v>28</v>
      </c>
      <c r="C5" s="225" t="s">
        <v>69</v>
      </c>
      <c r="D5" s="132"/>
      <c r="E5" s="196" t="s">
        <v>361</v>
      </c>
      <c r="F5" s="226">
        <f>'BC Pay-ins APAC'!C33</f>
        <v>0</v>
      </c>
      <c r="G5" s="226">
        <f>'BC Pay-ins APAC'!D33</f>
        <v>0</v>
      </c>
      <c r="H5" s="226">
        <f>'BC Pay-ins APAC'!E33</f>
        <v>1</v>
      </c>
      <c r="I5" s="226">
        <f>'BC Pay-ins APAC'!F33</f>
        <v>0</v>
      </c>
      <c r="J5" s="226" t="str">
        <f>'BC Pay-ins APAC'!G33</f>
        <v/>
      </c>
      <c r="L5" s="227">
        <f t="shared" ref="L5:L6" si="1">SUM(F5:J5)</f>
        <v>1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363</v>
      </c>
      <c r="F6" s="226">
        <f>'BC Pay-ins APAC'!C34</f>
        <v>3</v>
      </c>
      <c r="G6" s="226">
        <f>'BC Pay-ins APAC'!D34</f>
        <v>4</v>
      </c>
      <c r="H6" s="226">
        <f>'BC Pay-ins APAC'!E34</f>
        <v>3</v>
      </c>
      <c r="I6" s="226">
        <f>'BC Pay-ins APAC'!F34</f>
        <v>3</v>
      </c>
      <c r="J6" s="226" t="str">
        <f>'BC Pay-ins APAC'!G34</f>
        <v/>
      </c>
      <c r="L6" s="303">
        <f t="shared" si="1"/>
        <v>13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382</v>
      </c>
      <c r="F7" s="229">
        <f t="shared" ref="F7:I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383</v>
      </c>
      <c r="F8" s="233">
        <f t="shared" ref="F8:I8" si="3">F7*F6</f>
        <v>9</v>
      </c>
      <c r="G8" s="233">
        <f t="shared" si="3"/>
        <v>12</v>
      </c>
      <c r="H8" s="233">
        <f t="shared" si="3"/>
        <v>9</v>
      </c>
      <c r="I8" s="233">
        <f t="shared" si="3"/>
        <v>9</v>
      </c>
      <c r="J8" s="233"/>
      <c r="K8" s="234"/>
      <c r="L8" s="304">
        <f>SUM(F8:J8)</f>
        <v>39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384</v>
      </c>
      <c r="F9" s="234"/>
      <c r="G9" s="234"/>
      <c r="H9" s="234"/>
      <c r="I9" s="234"/>
      <c r="J9" s="234"/>
      <c r="K9" s="238">
        <f>SUM(K10:K16)</f>
        <v>21600</v>
      </c>
      <c r="L9" s="239"/>
      <c r="M9" s="305">
        <f>SUM(M10:M16)</f>
        <v>842400</v>
      </c>
      <c r="N9" s="241" t="s">
        <v>20</v>
      </c>
      <c r="P9" s="67"/>
    </row>
    <row r="10" outlineLevel="1">
      <c r="A10" s="67"/>
      <c r="B10" s="242" t="s">
        <v>385</v>
      </c>
      <c r="C10" s="242" t="s">
        <v>386</v>
      </c>
      <c r="D10" s="132"/>
      <c r="E10" s="243" t="s">
        <v>387</v>
      </c>
      <c r="F10" s="244" t="s">
        <v>388</v>
      </c>
      <c r="G10" s="244" t="s">
        <v>388</v>
      </c>
      <c r="H10" s="244" t="s">
        <v>388</v>
      </c>
      <c r="I10" s="244" t="s">
        <v>388</v>
      </c>
      <c r="J10" s="244"/>
      <c r="K10" s="245">
        <v>2250.0</v>
      </c>
      <c r="L10" s="245">
        <f>$K$10*$L$7</f>
        <v>6750</v>
      </c>
      <c r="M10" s="246">
        <f t="shared" ref="M10:M16" si="4">L10*$L$6</f>
        <v>87750</v>
      </c>
      <c r="N10" s="95"/>
    </row>
    <row r="11" outlineLevel="1">
      <c r="A11" s="67"/>
      <c r="B11" s="247" t="s">
        <v>444</v>
      </c>
      <c r="C11" s="248">
        <v>3.0</v>
      </c>
      <c r="D11" s="132"/>
      <c r="E11" s="243" t="s">
        <v>390</v>
      </c>
      <c r="F11" s="244" t="s">
        <v>388</v>
      </c>
      <c r="G11" s="244" t="s">
        <v>388</v>
      </c>
      <c r="H11" s="244" t="s">
        <v>388</v>
      </c>
      <c r="I11" s="244" t="s">
        <v>388</v>
      </c>
      <c r="J11" s="244"/>
      <c r="K11" s="245">
        <v>10500.0</v>
      </c>
      <c r="L11" s="245">
        <f>$K$11*$L$7</f>
        <v>31500</v>
      </c>
      <c r="M11" s="246">
        <f t="shared" si="4"/>
        <v>409500</v>
      </c>
      <c r="N11" s="95"/>
    </row>
    <row r="12" outlineLevel="1">
      <c r="A12" s="67"/>
      <c r="B12" s="116" t="s">
        <v>391</v>
      </c>
      <c r="C12" s="249">
        <v>4.0</v>
      </c>
      <c r="D12" s="132"/>
      <c r="E12" s="243" t="s">
        <v>392</v>
      </c>
      <c r="F12" s="244" t="s">
        <v>388</v>
      </c>
      <c r="G12" s="244" t="s">
        <v>388</v>
      </c>
      <c r="H12" s="244" t="s">
        <v>388</v>
      </c>
      <c r="I12" s="244" t="s">
        <v>388</v>
      </c>
      <c r="J12" s="244"/>
      <c r="K12" s="245">
        <v>2250.0</v>
      </c>
      <c r="L12" s="245">
        <f>$K$12*$L$7</f>
        <v>6750</v>
      </c>
      <c r="M12" s="246">
        <f t="shared" si="4"/>
        <v>87750</v>
      </c>
      <c r="N12" s="95"/>
    </row>
    <row r="13" outlineLevel="1">
      <c r="A13" s="67"/>
      <c r="B13" s="242"/>
      <c r="C13" s="250"/>
      <c r="D13" s="132"/>
      <c r="E13" s="243" t="s">
        <v>393</v>
      </c>
      <c r="F13" s="244" t="s">
        <v>388</v>
      </c>
      <c r="G13" s="244" t="s">
        <v>388</v>
      </c>
      <c r="H13" s="244" t="s">
        <v>388</v>
      </c>
      <c r="I13" s="244" t="s">
        <v>388</v>
      </c>
      <c r="J13" s="244"/>
      <c r="K13" s="245">
        <v>1350.0</v>
      </c>
      <c r="L13" s="245">
        <f>$K$13*$L$7</f>
        <v>4050</v>
      </c>
      <c r="M13" s="246">
        <f t="shared" si="4"/>
        <v>52650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394</v>
      </c>
      <c r="F14" s="244" t="s">
        <v>388</v>
      </c>
      <c r="G14" s="244" t="s">
        <v>388</v>
      </c>
      <c r="H14" s="244" t="s">
        <v>388</v>
      </c>
      <c r="I14" s="244" t="s">
        <v>388</v>
      </c>
      <c r="J14" s="244"/>
      <c r="K14" s="245">
        <v>1500.0</v>
      </c>
      <c r="L14" s="245">
        <f>$K$14*$L$7</f>
        <v>4500</v>
      </c>
      <c r="M14" s="246">
        <f t="shared" si="4"/>
        <v>58500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395</v>
      </c>
      <c r="F15" s="244" t="s">
        <v>388</v>
      </c>
      <c r="G15" s="244" t="s">
        <v>388</v>
      </c>
      <c r="H15" s="244" t="s">
        <v>388</v>
      </c>
      <c r="I15" s="244" t="s">
        <v>388</v>
      </c>
      <c r="J15" s="244"/>
      <c r="K15" s="245">
        <v>1125.0</v>
      </c>
      <c r="L15" s="245">
        <f>$K$15*$L$7</f>
        <v>3375</v>
      </c>
      <c r="M15" s="246">
        <f t="shared" si="4"/>
        <v>43875</v>
      </c>
      <c r="N15" s="95"/>
    </row>
    <row r="16" outlineLevel="1">
      <c r="A16" s="67"/>
      <c r="B16" s="108" t="s">
        <v>18</v>
      </c>
      <c r="C16" s="252" t="s">
        <v>396</v>
      </c>
      <c r="D16" s="132"/>
      <c r="E16" s="253" t="s">
        <v>397</v>
      </c>
      <c r="F16" s="244" t="s">
        <v>388</v>
      </c>
      <c r="G16" s="244" t="s">
        <v>388</v>
      </c>
      <c r="H16" s="244" t="s">
        <v>388</v>
      </c>
      <c r="I16" s="244" t="s">
        <v>388</v>
      </c>
      <c r="J16" s="244"/>
      <c r="K16" s="254">
        <v>2625.0</v>
      </c>
      <c r="L16" s="245">
        <f>$K$16*$L$7</f>
        <v>7875</v>
      </c>
      <c r="M16" s="255">
        <f t="shared" si="4"/>
        <v>102375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337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342</v>
      </c>
      <c r="F19" s="262" t="str">
        <f>'BC Pay-ins APAC'!C23</f>
        <v>Yes</v>
      </c>
      <c r="G19" s="262" t="str">
        <f>'BC Pay-ins APAC'!D23</f>
        <v>No</v>
      </c>
      <c r="H19" s="262" t="str">
        <f>'BC Pay-ins APAC'!E23</f>
        <v>Yes</v>
      </c>
      <c r="I19" s="262" t="str">
        <f>'BC Pay-ins APAC'!F23</f>
        <v>No</v>
      </c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398</v>
      </c>
      <c r="F20" s="264" t="str">
        <f t="shared" ref="F20:I20" si="5">if(F19="Yes","No","Yes")</f>
        <v>No</v>
      </c>
      <c r="G20" s="264" t="str">
        <f t="shared" si="5"/>
        <v>Yes</v>
      </c>
      <c r="H20" s="264" t="str">
        <f t="shared" si="5"/>
        <v>No</v>
      </c>
      <c r="I20" s="264" t="str">
        <f t="shared" si="5"/>
        <v>Yes</v>
      </c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399</v>
      </c>
      <c r="F21" s="265">
        <f t="shared" ref="F21:I21" si="6">if(F19="yes",1,2)</f>
        <v>1</v>
      </c>
      <c r="G21" s="265">
        <f t="shared" si="6"/>
        <v>2</v>
      </c>
      <c r="H21" s="265">
        <f t="shared" si="6"/>
        <v>1</v>
      </c>
      <c r="I21" s="265">
        <f t="shared" si="6"/>
        <v>2</v>
      </c>
      <c r="J21" s="265"/>
      <c r="L21" s="306">
        <f>SUM(F21:J21)</f>
        <v>6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400</v>
      </c>
      <c r="F22" s="229">
        <f t="shared" ref="F22:I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383</v>
      </c>
      <c r="F23" s="233">
        <f t="shared" ref="F23:I23" si="8">F22*F21</f>
        <v>4</v>
      </c>
      <c r="G23" s="233">
        <f t="shared" si="8"/>
        <v>8</v>
      </c>
      <c r="H23" s="233">
        <f t="shared" si="8"/>
        <v>4</v>
      </c>
      <c r="I23" s="233">
        <f t="shared" si="8"/>
        <v>8</v>
      </c>
      <c r="J23" s="233"/>
      <c r="K23" s="234"/>
      <c r="L23" s="266">
        <f>SUM(F23:J23)</f>
        <v>24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401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387</v>
      </c>
      <c r="F25" s="244" t="s">
        <v>388</v>
      </c>
      <c r="G25" s="244" t="s">
        <v>388</v>
      </c>
      <c r="H25" s="244" t="s">
        <v>388</v>
      </c>
      <c r="I25" s="244" t="s">
        <v>388</v>
      </c>
      <c r="J25" s="244"/>
      <c r="K25" s="269">
        <v>2250.0</v>
      </c>
      <c r="L25" s="269">
        <f>$K$25*$L$22</f>
        <v>9000</v>
      </c>
      <c r="M25" s="175">
        <f>$L$25*$L$21</f>
        <v>54000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390</v>
      </c>
      <c r="F26" s="244" t="s">
        <v>388</v>
      </c>
      <c r="G26" s="244" t="s">
        <v>388</v>
      </c>
      <c r="H26" s="244" t="s">
        <v>388</v>
      </c>
      <c r="I26" s="244" t="s">
        <v>388</v>
      </c>
      <c r="J26" s="244"/>
      <c r="K26" s="269">
        <v>10500.0</v>
      </c>
      <c r="L26" s="269">
        <f>$K$26*$L$22</f>
        <v>42000</v>
      </c>
      <c r="M26" s="175">
        <f>$L$26*$L$21</f>
        <v>252000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392</v>
      </c>
      <c r="F27" s="244" t="s">
        <v>388</v>
      </c>
      <c r="G27" s="244" t="s">
        <v>388</v>
      </c>
      <c r="H27" s="244" t="s">
        <v>388</v>
      </c>
      <c r="I27" s="244" t="s">
        <v>388</v>
      </c>
      <c r="J27" s="244"/>
      <c r="K27" s="269">
        <v>2250.0</v>
      </c>
      <c r="L27" s="269">
        <f>$K$27*$L$22</f>
        <v>9000</v>
      </c>
      <c r="M27" s="175">
        <f>$L$27*$L$21</f>
        <v>54000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393</v>
      </c>
      <c r="F28" s="244" t="s">
        <v>388</v>
      </c>
      <c r="G28" s="244" t="s">
        <v>388</v>
      </c>
      <c r="H28" s="244" t="s">
        <v>388</v>
      </c>
      <c r="I28" s="244" t="s">
        <v>388</v>
      </c>
      <c r="J28" s="244"/>
      <c r="K28" s="269">
        <v>1350.0</v>
      </c>
      <c r="L28" s="269">
        <f>$K$28*$L$22</f>
        <v>5400</v>
      </c>
      <c r="M28" s="175">
        <f>$L$28*$L$21</f>
        <v>32400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394</v>
      </c>
      <c r="F29" s="244" t="s">
        <v>388</v>
      </c>
      <c r="G29" s="244" t="s">
        <v>388</v>
      </c>
      <c r="H29" s="244" t="s">
        <v>388</v>
      </c>
      <c r="I29" s="244" t="s">
        <v>388</v>
      </c>
      <c r="J29" s="244"/>
      <c r="K29" s="269">
        <v>1500.0</v>
      </c>
      <c r="L29" s="269">
        <f>$K$29*$L$22</f>
        <v>6000</v>
      </c>
      <c r="M29" s="175">
        <f>$L$29*$L$21</f>
        <v>36000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395</v>
      </c>
      <c r="F30" s="244" t="s">
        <v>388</v>
      </c>
      <c r="G30" s="244" t="s">
        <v>388</v>
      </c>
      <c r="H30" s="244" t="s">
        <v>388</v>
      </c>
      <c r="I30" s="244" t="s">
        <v>388</v>
      </c>
      <c r="J30" s="244"/>
      <c r="K30" s="269">
        <v>1125.0</v>
      </c>
      <c r="L30" s="269">
        <f>$K$30*$L$22</f>
        <v>4500</v>
      </c>
      <c r="M30" s="175">
        <f>$L$30*$L$21</f>
        <v>27000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397</v>
      </c>
      <c r="F31" s="270" t="s">
        <v>388</v>
      </c>
      <c r="G31" s="270" t="s">
        <v>388</v>
      </c>
      <c r="H31" s="270" t="s">
        <v>388</v>
      </c>
      <c r="I31" s="270" t="s">
        <v>388</v>
      </c>
      <c r="J31" s="270"/>
      <c r="K31" s="271">
        <v>2625.0</v>
      </c>
      <c r="L31" s="269">
        <f>$K$31*$L$22</f>
        <v>10500</v>
      </c>
      <c r="M31" s="175">
        <f>$L$31*$L$21</f>
        <v>63000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402</v>
      </c>
      <c r="F33" s="273" t="s">
        <v>353</v>
      </c>
      <c r="G33" s="273" t="s">
        <v>403</v>
      </c>
      <c r="H33" s="274" t="s">
        <v>404</v>
      </c>
      <c r="J33" s="272" t="s">
        <v>405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387</v>
      </c>
      <c r="F34" s="269">
        <f t="shared" ref="F34:F40" si="9">M10</f>
        <v>87750</v>
      </c>
      <c r="G34" s="269">
        <f t="shared" ref="G34:G40" si="10">M25</f>
        <v>54000</v>
      </c>
      <c r="H34" s="275">
        <f t="shared" ref="H34:H40" si="11">SUM(F34:G34)</f>
        <v>141750</v>
      </c>
      <c r="I34" s="276" t="s">
        <v>20</v>
      </c>
      <c r="J34" s="169" t="s">
        <v>386</v>
      </c>
      <c r="K34" s="277">
        <f>($L$6*$L$7)+($L$21*$L$22)</f>
        <v>63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390</v>
      </c>
      <c r="F35" s="269">
        <f t="shared" si="9"/>
        <v>409500</v>
      </c>
      <c r="G35" s="269">
        <f t="shared" si="10"/>
        <v>252000</v>
      </c>
      <c r="H35" s="275">
        <f t="shared" si="11"/>
        <v>661500</v>
      </c>
      <c r="I35" s="276" t="s">
        <v>20</v>
      </c>
      <c r="J35" s="169" t="s">
        <v>406</v>
      </c>
      <c r="K35" s="307">
        <f>round(K34/12,0)</f>
        <v>5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392</v>
      </c>
      <c r="F36" s="269">
        <f t="shared" si="9"/>
        <v>87750</v>
      </c>
      <c r="G36" s="269">
        <f t="shared" si="10"/>
        <v>54000</v>
      </c>
      <c r="H36" s="275">
        <f t="shared" si="11"/>
        <v>141750</v>
      </c>
      <c r="I36" s="276" t="s">
        <v>20</v>
      </c>
      <c r="J36" s="280" t="s">
        <v>407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393</v>
      </c>
      <c r="F37" s="269">
        <f t="shared" si="9"/>
        <v>52650</v>
      </c>
      <c r="G37" s="269">
        <f t="shared" si="10"/>
        <v>32400</v>
      </c>
      <c r="H37" s="275">
        <f t="shared" si="11"/>
        <v>85050</v>
      </c>
      <c r="I37" s="276" t="s">
        <v>20</v>
      </c>
      <c r="J37" s="169" t="s">
        <v>386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394</v>
      </c>
      <c r="F38" s="269">
        <f t="shared" si="9"/>
        <v>58500</v>
      </c>
      <c r="G38" s="269">
        <f t="shared" si="10"/>
        <v>36000</v>
      </c>
      <c r="H38" s="275">
        <f t="shared" si="11"/>
        <v>94500</v>
      </c>
      <c r="I38" s="276" t="s">
        <v>20</v>
      </c>
      <c r="J38" s="281" t="s">
        <v>408</v>
      </c>
      <c r="K38" s="282">
        <f>K34-K37</f>
        <v>61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395</v>
      </c>
      <c r="F39" s="269">
        <f t="shared" si="9"/>
        <v>43875</v>
      </c>
      <c r="G39" s="269">
        <f t="shared" si="10"/>
        <v>27000</v>
      </c>
      <c r="H39" s="275">
        <f t="shared" si="11"/>
        <v>70875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397</v>
      </c>
      <c r="F40" s="269">
        <f t="shared" si="9"/>
        <v>102375</v>
      </c>
      <c r="G40" s="269">
        <f t="shared" si="10"/>
        <v>63000</v>
      </c>
      <c r="H40" s="275">
        <f t="shared" si="11"/>
        <v>165375</v>
      </c>
      <c r="I40" s="276" t="s">
        <v>20</v>
      </c>
      <c r="J40" s="283" t="s">
        <v>409</v>
      </c>
      <c r="K40" s="284">
        <f>K38</f>
        <v>61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402</v>
      </c>
      <c r="F41" s="273">
        <f t="shared" ref="F41:G41" si="12">SUM(F34:F40)</f>
        <v>842400</v>
      </c>
      <c r="G41" s="273">
        <f t="shared" si="12"/>
        <v>518400</v>
      </c>
      <c r="H41" s="285">
        <f>SUM(H34:H40)/1000000</f>
        <v>1.3608</v>
      </c>
      <c r="I41" s="276" t="s">
        <v>20</v>
      </c>
      <c r="J41" s="283" t="s">
        <v>410</v>
      </c>
      <c r="K41" s="277" t="str">
        <f>CONCATENATE(ROUNDUP(K42,2)," ","years")</f>
        <v>5.09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5.083333333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67"/>
      <c r="L1" s="67"/>
      <c r="M1" s="67"/>
      <c r="N1" s="67"/>
      <c r="O1" s="67"/>
    </row>
    <row r="2">
      <c r="A2" s="67"/>
      <c r="B2" s="220" t="s">
        <v>267</v>
      </c>
      <c r="C2" s="221" t="s">
        <v>430</v>
      </c>
      <c r="D2" s="132"/>
      <c r="E2" s="133"/>
      <c r="F2" s="134" t="s">
        <v>310</v>
      </c>
      <c r="K2" s="67"/>
      <c r="L2" s="67"/>
      <c r="M2" s="67"/>
      <c r="N2" s="67"/>
      <c r="O2" s="67"/>
    </row>
    <row r="3">
      <c r="A3" s="67"/>
      <c r="B3" s="247"/>
      <c r="C3" s="132"/>
      <c r="D3" s="132"/>
      <c r="E3" s="135" t="s">
        <v>311</v>
      </c>
      <c r="F3" s="137" t="s">
        <v>313</v>
      </c>
      <c r="G3" s="137" t="s">
        <v>312</v>
      </c>
      <c r="H3" s="137" t="s">
        <v>315</v>
      </c>
      <c r="I3" s="137" t="s">
        <v>314</v>
      </c>
      <c r="J3" s="137" t="s">
        <v>445</v>
      </c>
      <c r="K3" s="137" t="s">
        <v>317</v>
      </c>
      <c r="L3" s="67"/>
      <c r="M3" s="67"/>
      <c r="N3" s="67"/>
      <c r="O3" s="67"/>
    </row>
    <row r="4">
      <c r="A4" s="67"/>
      <c r="B4" s="218" t="s">
        <v>84</v>
      </c>
      <c r="C4" s="219" t="s">
        <v>6</v>
      </c>
      <c r="D4" s="132"/>
      <c r="E4" s="116" t="s">
        <v>320</v>
      </c>
      <c r="F4" s="308">
        <v>0.0197</v>
      </c>
      <c r="G4" s="308">
        <v>0.0053</v>
      </c>
      <c r="H4" s="308">
        <v>0.0033</v>
      </c>
      <c r="I4" s="308">
        <v>0.0029</v>
      </c>
      <c r="J4" s="308">
        <v>0.0022</v>
      </c>
      <c r="K4" s="67"/>
      <c r="L4" s="67"/>
      <c r="M4" s="67"/>
      <c r="N4" s="67"/>
      <c r="O4" s="67"/>
    </row>
    <row r="5">
      <c r="A5" s="67"/>
      <c r="B5" s="224" t="s">
        <v>28</v>
      </c>
      <c r="C5" s="225" t="s">
        <v>68</v>
      </c>
      <c r="D5" s="132"/>
      <c r="E5" s="142" t="s">
        <v>322</v>
      </c>
      <c r="F5" s="143">
        <f t="shared" ref="F5:J5" si="1">F4*$C$9</f>
        <v>23403600</v>
      </c>
      <c r="G5" s="143">
        <f t="shared" si="1"/>
        <v>6296400</v>
      </c>
      <c r="H5" s="143">
        <f t="shared" si="1"/>
        <v>3920400</v>
      </c>
      <c r="I5" s="143">
        <f t="shared" si="1"/>
        <v>3445200</v>
      </c>
      <c r="J5" s="143">
        <f t="shared" si="1"/>
        <v>2613600</v>
      </c>
      <c r="K5" s="95"/>
      <c r="L5" s="95"/>
      <c r="M5" s="95"/>
      <c r="N5" s="67"/>
      <c r="O5" s="67"/>
    </row>
    <row r="6">
      <c r="A6" s="67"/>
      <c r="B6" s="67"/>
      <c r="C6" s="174"/>
      <c r="D6" s="132"/>
      <c r="E6" s="133" t="s">
        <v>323</v>
      </c>
      <c r="F6" s="309">
        <f t="shared" ref="F6:J6" si="2">F7*F8</f>
        <v>0.198</v>
      </c>
      <c r="G6" s="309">
        <f t="shared" si="2"/>
        <v>0.198</v>
      </c>
      <c r="H6" s="309">
        <f t="shared" si="2"/>
        <v>0.198</v>
      </c>
      <c r="I6" s="309">
        <f t="shared" si="2"/>
        <v>0.198</v>
      </c>
      <c r="J6" s="309">
        <f t="shared" si="2"/>
        <v>0.198</v>
      </c>
      <c r="K6" s="95"/>
      <c r="L6" s="95"/>
      <c r="M6" s="95"/>
      <c r="N6" s="67"/>
      <c r="O6" s="67"/>
    </row>
    <row r="7">
      <c r="A7" s="67"/>
      <c r="B7" s="67"/>
      <c r="C7" s="67"/>
      <c r="D7" s="132"/>
      <c r="E7" s="147" t="s">
        <v>324</v>
      </c>
      <c r="F7" s="310">
        <v>0.22</v>
      </c>
      <c r="G7" s="310">
        <v>0.22</v>
      </c>
      <c r="H7" s="310">
        <v>0.22</v>
      </c>
      <c r="I7" s="310">
        <v>0.22</v>
      </c>
      <c r="J7" s="310">
        <v>0.22</v>
      </c>
      <c r="K7" s="95"/>
      <c r="L7" s="95"/>
      <c r="M7" s="95"/>
      <c r="N7" s="67"/>
      <c r="O7" s="67"/>
    </row>
    <row r="8">
      <c r="A8" s="67"/>
      <c r="B8" s="236" t="s">
        <v>292</v>
      </c>
      <c r="C8" s="237"/>
      <c r="D8" s="132"/>
      <c r="E8" s="149" t="s">
        <v>325</v>
      </c>
      <c r="F8" s="311">
        <v>0.9</v>
      </c>
      <c r="G8" s="311">
        <v>0.9</v>
      </c>
      <c r="H8" s="311">
        <v>0.9</v>
      </c>
      <c r="I8" s="311">
        <v>0.9</v>
      </c>
      <c r="J8" s="311">
        <v>0.9</v>
      </c>
      <c r="K8" s="95"/>
      <c r="L8" s="95"/>
      <c r="M8" s="95"/>
      <c r="N8" s="67"/>
      <c r="O8" s="67"/>
    </row>
    <row r="9">
      <c r="A9" s="67"/>
      <c r="B9" s="242" t="s">
        <v>293</v>
      </c>
      <c r="C9" s="312">
        <f>99000000*12</f>
        <v>1188000000</v>
      </c>
      <c r="D9" s="132"/>
      <c r="E9" s="116" t="s">
        <v>326</v>
      </c>
      <c r="F9" s="143">
        <f t="shared" ref="F9:J9" si="3">round(F5*F6,0)</f>
        <v>4633913</v>
      </c>
      <c r="G9" s="143">
        <f t="shared" si="3"/>
        <v>1246687</v>
      </c>
      <c r="H9" s="143">
        <f t="shared" si="3"/>
        <v>776239</v>
      </c>
      <c r="I9" s="143">
        <f t="shared" si="3"/>
        <v>682150</v>
      </c>
      <c r="J9" s="143">
        <f t="shared" si="3"/>
        <v>517493</v>
      </c>
      <c r="K9" s="95"/>
      <c r="L9" s="95"/>
      <c r="M9" s="95"/>
      <c r="N9" s="67"/>
      <c r="O9" s="67"/>
    </row>
    <row r="10" outlineLevel="1">
      <c r="A10" s="67"/>
      <c r="B10" s="247" t="s">
        <v>295</v>
      </c>
      <c r="C10" s="313">
        <v>1.12E10</v>
      </c>
      <c r="D10" s="132"/>
      <c r="E10" s="133" t="s">
        <v>327</v>
      </c>
      <c r="F10" s="314">
        <v>200.0</v>
      </c>
      <c r="G10" s="314">
        <v>150.0</v>
      </c>
      <c r="H10" s="314">
        <v>100.0</v>
      </c>
      <c r="I10" s="314">
        <v>160.0</v>
      </c>
      <c r="J10" s="314">
        <v>80.0</v>
      </c>
      <c r="K10" s="95"/>
      <c r="L10" s="95"/>
      <c r="M10" s="95"/>
      <c r="N10" s="67"/>
      <c r="O10" s="67"/>
    </row>
    <row r="11" outlineLevel="1">
      <c r="A11" s="67"/>
      <c r="B11" s="315" t="s">
        <v>297</v>
      </c>
      <c r="C11" s="316">
        <v>0.14</v>
      </c>
      <c r="D11" s="132"/>
      <c r="E11" s="153" t="s">
        <v>329</v>
      </c>
      <c r="F11" s="317">
        <f t="shared" ref="F11:J11" si="4">$C$9*F4*F6*F10</f>
        <v>926782560</v>
      </c>
      <c r="G11" s="317">
        <f t="shared" si="4"/>
        <v>187003080</v>
      </c>
      <c r="H11" s="317">
        <f t="shared" si="4"/>
        <v>77623920</v>
      </c>
      <c r="I11" s="317">
        <f t="shared" si="4"/>
        <v>109143936</v>
      </c>
      <c r="J11" s="317">
        <f t="shared" si="4"/>
        <v>41399424</v>
      </c>
      <c r="K11" s="258" t="s">
        <v>20</v>
      </c>
      <c r="L11" s="95"/>
      <c r="M11" s="95"/>
      <c r="N11" s="67"/>
      <c r="O11" s="67"/>
    </row>
    <row r="12">
      <c r="A12" s="67"/>
      <c r="B12" s="315" t="s">
        <v>299</v>
      </c>
      <c r="C12" s="318">
        <f>C10/C11</f>
        <v>80000000000</v>
      </c>
      <c r="D12" s="132"/>
      <c r="E12" s="147" t="s">
        <v>330</v>
      </c>
      <c r="F12" s="319">
        <v>0.7</v>
      </c>
      <c r="G12" s="319">
        <v>1.0</v>
      </c>
      <c r="H12" s="319">
        <v>1.0</v>
      </c>
      <c r="I12" s="319">
        <v>1.0</v>
      </c>
      <c r="J12" s="319">
        <v>1.0</v>
      </c>
      <c r="K12" s="95"/>
      <c r="L12" s="95"/>
      <c r="M12" s="95"/>
      <c r="N12" s="67"/>
      <c r="O12" s="67"/>
    </row>
    <row r="13">
      <c r="A13" s="67"/>
      <c r="B13" s="67"/>
      <c r="C13" s="67"/>
      <c r="D13" s="132"/>
      <c r="E13" s="149" t="s">
        <v>334</v>
      </c>
      <c r="F13" s="320">
        <v>0.3</v>
      </c>
      <c r="G13" s="320">
        <v>0.0</v>
      </c>
      <c r="H13" s="320">
        <v>0.0</v>
      </c>
      <c r="I13" s="320">
        <v>0.0</v>
      </c>
      <c r="J13" s="320">
        <v>0.0</v>
      </c>
      <c r="K13" s="95"/>
      <c r="L13" s="95"/>
      <c r="M13" s="95"/>
      <c r="N13" s="95"/>
      <c r="O13" s="95"/>
    </row>
    <row r="14">
      <c r="A14" s="67"/>
      <c r="B14" s="102" t="s">
        <v>14</v>
      </c>
      <c r="C14" s="103" t="s">
        <v>13</v>
      </c>
      <c r="D14" s="132"/>
      <c r="E14" s="321"/>
      <c r="F14" s="216"/>
      <c r="G14" s="216"/>
      <c r="H14" s="216"/>
      <c r="I14" s="216"/>
      <c r="J14" s="216"/>
      <c r="K14" s="95"/>
      <c r="L14" s="95"/>
      <c r="M14" s="95"/>
      <c r="N14" s="95"/>
      <c r="O14" s="95"/>
    </row>
    <row r="15">
      <c r="A15" s="67"/>
      <c r="B15" s="105" t="s">
        <v>16</v>
      </c>
      <c r="C15" s="251" t="s">
        <v>15</v>
      </c>
      <c r="D15" s="132"/>
      <c r="E15" s="163" t="s">
        <v>337</v>
      </c>
      <c r="F15" s="164"/>
      <c r="G15" s="164"/>
      <c r="H15" s="164"/>
      <c r="I15" s="164"/>
      <c r="J15" s="164"/>
      <c r="K15" s="95"/>
      <c r="L15" s="95"/>
      <c r="M15" s="95"/>
      <c r="N15" s="95"/>
      <c r="O15" s="95"/>
    </row>
    <row r="16">
      <c r="A16" s="67"/>
      <c r="B16" s="108" t="s">
        <v>18</v>
      </c>
      <c r="C16" s="252" t="s">
        <v>396</v>
      </c>
      <c r="D16" s="132"/>
      <c r="E16" s="165" t="s">
        <v>338</v>
      </c>
      <c r="F16" s="322">
        <f>AVERAGE(VLOOKUP($C$5, 'Aceptance Rate Delta per Indust'!$B$3:$E$40, 3, FALSE), VLOOKUP($C$5, 'Aceptance Rate Delta per Indust'!$B$3:$E$40, 4, FALSE))</f>
        <v>0.045</v>
      </c>
      <c r="G16" s="322">
        <f>AVERAGE(VLOOKUP($C$5, 'Aceptance Rate Delta per Indust'!$B$3:$E$40, 3, FALSE), VLOOKUP($C$5, 'Aceptance Rate Delta per Indust'!$B$3:$E$40, 4, FALSE))</f>
        <v>0.045</v>
      </c>
      <c r="H16" s="322">
        <f>AVERAGE(VLOOKUP($C$5, 'Aceptance Rate Delta per Indust'!$B$3:$E$40, 3, FALSE), VLOOKUP($C$5, 'Aceptance Rate Delta per Indust'!$B$3:$E$40, 4, FALSE))</f>
        <v>0.045</v>
      </c>
      <c r="I16" s="322">
        <f>AVERAGE(VLOOKUP($C$5, 'Aceptance Rate Delta per Indust'!$B$3:$E$40, 3, FALSE), VLOOKUP($C$5, 'Aceptance Rate Delta per Indust'!$B$3:$E$40, 4, FALSE))</f>
        <v>0.045</v>
      </c>
      <c r="J16" s="322">
        <f>AVERAGE(VLOOKUP($C$5, 'Aceptance Rate Delta per Indust'!$B$3:$E$40, 3, FALSE), VLOOKUP($C$5, 'Aceptance Rate Delta per Indust'!$B$3:$E$40, 4, FALSE))</f>
        <v>0.045</v>
      </c>
      <c r="K16" s="258" t="s">
        <v>20</v>
      </c>
      <c r="L16" s="67"/>
      <c r="M16" s="95"/>
      <c r="N16" s="95"/>
      <c r="O16" s="95"/>
    </row>
    <row r="17">
      <c r="A17" s="67"/>
      <c r="B17" s="323" t="s">
        <v>20</v>
      </c>
      <c r="C17" s="324" t="s">
        <v>301</v>
      </c>
      <c r="D17" s="132"/>
      <c r="E17" s="169" t="s">
        <v>339</v>
      </c>
      <c r="F17" s="325">
        <f t="shared" ref="F17:J17" si="5">F11*F16</f>
        <v>41705215.2</v>
      </c>
      <c r="G17" s="325">
        <f t="shared" si="5"/>
        <v>8415138.6</v>
      </c>
      <c r="H17" s="325">
        <f t="shared" si="5"/>
        <v>3493076.4</v>
      </c>
      <c r="I17" s="325">
        <f t="shared" si="5"/>
        <v>4911477.12</v>
      </c>
      <c r="J17" s="325">
        <f t="shared" si="5"/>
        <v>1862974.08</v>
      </c>
      <c r="K17" s="258" t="s">
        <v>20</v>
      </c>
      <c r="L17" s="326">
        <f>sum(F17:J17)</f>
        <v>60387881.4</v>
      </c>
      <c r="M17" s="95"/>
      <c r="N17" s="95"/>
      <c r="O17" s="95"/>
    </row>
    <row r="18">
      <c r="A18" s="67"/>
      <c r="B18" s="116"/>
      <c r="C18" s="116"/>
      <c r="D18" s="132"/>
      <c r="E18" s="172" t="s">
        <v>340</v>
      </c>
      <c r="F18" s="327">
        <f t="shared" ref="F18:J18" si="6">F17*$C$11</f>
        <v>5838730.128</v>
      </c>
      <c r="G18" s="327">
        <f t="shared" si="6"/>
        <v>1178119.404</v>
      </c>
      <c r="H18" s="327">
        <f t="shared" si="6"/>
        <v>489030.696</v>
      </c>
      <c r="I18" s="327">
        <f t="shared" si="6"/>
        <v>687606.7968</v>
      </c>
      <c r="J18" s="327">
        <f t="shared" si="6"/>
        <v>260816.3712</v>
      </c>
      <c r="K18" s="327">
        <f>SUM(F18:J18)</f>
        <v>8454303.396</v>
      </c>
      <c r="L18" s="258" t="s">
        <v>20</v>
      </c>
      <c r="M18" s="95"/>
      <c r="N18" s="95"/>
      <c r="O18" s="95"/>
    </row>
    <row r="19">
      <c r="A19" s="67"/>
      <c r="B19" s="116"/>
      <c r="C19" s="116"/>
      <c r="D19" s="132"/>
      <c r="E19" s="67"/>
      <c r="F19" s="174"/>
      <c r="G19" s="174"/>
      <c r="H19" s="174"/>
      <c r="I19" s="174"/>
      <c r="J19" s="174"/>
      <c r="K19" s="175"/>
      <c r="L19" s="67"/>
      <c r="M19" s="95"/>
      <c r="N19" s="95"/>
      <c r="O19" s="95"/>
    </row>
    <row r="20">
      <c r="A20" s="67"/>
      <c r="B20" s="116"/>
      <c r="C20" s="116"/>
      <c r="D20" s="132"/>
      <c r="E20" s="176" t="s">
        <v>341</v>
      </c>
      <c r="F20" s="177">
        <f t="shared" ref="F20:J20" si="7">F$11*F12+F17</f>
        <v>690453007.2</v>
      </c>
      <c r="G20" s="177">
        <f t="shared" si="7"/>
        <v>195418218.6</v>
      </c>
      <c r="H20" s="177">
        <f t="shared" si="7"/>
        <v>81116996.4</v>
      </c>
      <c r="I20" s="177">
        <f t="shared" si="7"/>
        <v>114055413.1</v>
      </c>
      <c r="J20" s="177">
        <f t="shared" si="7"/>
        <v>43262398.08</v>
      </c>
      <c r="K20" s="67"/>
      <c r="L20" s="67"/>
      <c r="M20" s="95"/>
      <c r="N20" s="95"/>
      <c r="O20" s="95"/>
    </row>
    <row r="21">
      <c r="A21" s="67"/>
      <c r="B21" s="116"/>
      <c r="C21" s="116"/>
      <c r="D21" s="132"/>
      <c r="E21" s="178" t="s">
        <v>342</v>
      </c>
      <c r="F21" s="328" t="s">
        <v>413</v>
      </c>
      <c r="G21" s="329" t="s">
        <v>437</v>
      </c>
      <c r="H21" s="329" t="s">
        <v>437</v>
      </c>
      <c r="I21" s="329" t="s">
        <v>437</v>
      </c>
      <c r="J21" s="329" t="s">
        <v>437</v>
      </c>
      <c r="K21" s="67"/>
      <c r="L21" s="67"/>
      <c r="M21" s="95"/>
      <c r="N21" s="95"/>
      <c r="O21" s="95"/>
    </row>
    <row r="22">
      <c r="A22" s="67"/>
      <c r="B22" s="116"/>
      <c r="C22" s="116"/>
      <c r="D22" s="132"/>
      <c r="E22" s="181" t="s">
        <v>345</v>
      </c>
      <c r="F22" s="148">
        <f>if(F21="Yes",VLOOKUP($C$5,'Aceptance Rate Delta per Indust'!$B$3:$G$40,5,FALSE),VLOOKUP($C$5,'Aceptance Rate Delta per Indust'!$B$3:$G$40,6,FALSE))</f>
        <v>0.028</v>
      </c>
      <c r="G22" s="148">
        <f>if(G21="Yes",VLOOKUP($C$5,'Aceptance Rate Delta per Indust'!$B$3:$G$40,5,FALSE),VLOOKUP($C$5,'Aceptance Rate Delta per Indust'!$B$3:$G$40,6,FALSE))</f>
        <v>0.06</v>
      </c>
      <c r="H22" s="148">
        <f>if(H21="Yes",VLOOKUP($C$5,'Aceptance Rate Delta per Indust'!$B$3:$G$40,5,FALSE),VLOOKUP($C$5,'Aceptance Rate Delta per Indust'!$B$3:$G$40,6,FALSE))</f>
        <v>0.06</v>
      </c>
      <c r="I22" s="148">
        <f>if(I21="Yes",VLOOKUP($C$5,'Aceptance Rate Delta per Indust'!$B$3:$G$40,5,FALSE),VLOOKUP($C$5,'Aceptance Rate Delta per Indust'!$B$3:$G$40,6,FALSE))</f>
        <v>0.06</v>
      </c>
      <c r="J22" s="148">
        <f>if(J21="Yes",VLOOKUP($C$5,'Aceptance Rate Delta per Indust'!$B$3:$G$40,5,FALSE),VLOOKUP($C$5,'Aceptance Rate Delta per Indust'!$B$3:$G$40,6,FALSE))</f>
        <v>0.06</v>
      </c>
      <c r="K22" s="67"/>
      <c r="L22" s="67"/>
      <c r="M22" s="67"/>
      <c r="N22" s="67"/>
      <c r="O22" s="67"/>
    </row>
    <row r="23">
      <c r="A23" s="67"/>
      <c r="B23" s="256"/>
      <c r="C23" s="330"/>
      <c r="D23" s="132"/>
      <c r="E23" s="182" t="s">
        <v>347</v>
      </c>
      <c r="F23" s="183">
        <f>-if(F21="Yes",0,(VLOOKUP($C$5,'Aceptance Rate Delta per Indust'!$B$3:$G$40,6,FALSE)-VLOOKUP($C$5,'Aceptance Rate Delta per Indust'!$B$3:$G$40,5,FALSE)))</f>
        <v>0</v>
      </c>
      <c r="G23" s="183">
        <f>-if(G21="Yes",0,(VLOOKUP($C$5,'Aceptance Rate Delta per Indust'!$B$3:$G$40,6,FALSE)-VLOOKUP($C$5,'Aceptance Rate Delta per Indust'!$B$3:$G$40,5,FALSE)))</f>
        <v>-0.032</v>
      </c>
      <c r="H23" s="183">
        <f>-if(H21="Yes",0,(VLOOKUP($C$5,'Aceptance Rate Delta per Indust'!$B$3:$G$40,6,FALSE)-VLOOKUP($C$5,'Aceptance Rate Delta per Indust'!$B$3:$G$40,5,FALSE)))</f>
        <v>-0.032</v>
      </c>
      <c r="I23" s="183">
        <f>-if(I21="Yes",0,(VLOOKUP($C$5,'Aceptance Rate Delta per Indust'!$B$3:$G$40,6,FALSE)-VLOOKUP($C$5,'Aceptance Rate Delta per Indust'!$B$3:$G$40,5,FALSE)))</f>
        <v>-0.032</v>
      </c>
      <c r="J23" s="183">
        <f>-if(J21="Yes",0,(VLOOKUP($C$5,'Aceptance Rate Delta per Indust'!$B$3:$G$40,6,FALSE)-VLOOKUP($C$5,'Aceptance Rate Delta per Indust'!$B$3:$G$40,5,FALSE)))</f>
        <v>-0.032</v>
      </c>
      <c r="K23" s="67"/>
      <c r="L23" s="67"/>
      <c r="M23" s="67"/>
      <c r="N23" s="67"/>
      <c r="O23" s="67"/>
    </row>
    <row r="24">
      <c r="A24" s="67"/>
      <c r="B24" s="256"/>
      <c r="C24" s="244"/>
      <c r="D24" s="132"/>
      <c r="E24" s="184" t="s">
        <v>349</v>
      </c>
      <c r="F24" s="185">
        <f t="shared" ref="F24:J24" si="8">F22+F23</f>
        <v>0.028</v>
      </c>
      <c r="G24" s="185">
        <f t="shared" si="8"/>
        <v>0.028</v>
      </c>
      <c r="H24" s="185">
        <f t="shared" si="8"/>
        <v>0.028</v>
      </c>
      <c r="I24" s="185">
        <f t="shared" si="8"/>
        <v>0.028</v>
      </c>
      <c r="J24" s="185">
        <f t="shared" si="8"/>
        <v>0.028</v>
      </c>
      <c r="K24" s="67"/>
      <c r="L24" s="67"/>
      <c r="M24" s="67"/>
      <c r="N24" s="67"/>
      <c r="O24" s="67"/>
    </row>
    <row r="25">
      <c r="A25" s="67"/>
      <c r="B25" s="116"/>
      <c r="C25" s="175"/>
      <c r="D25" s="127"/>
      <c r="E25" s="186" t="s">
        <v>350</v>
      </c>
      <c r="F25" s="192">
        <f t="shared" ref="F25:J25" si="9">F23*F20*-1</f>
        <v>0</v>
      </c>
      <c r="G25" s="192">
        <f t="shared" si="9"/>
        <v>6253382.995</v>
      </c>
      <c r="H25" s="192">
        <f t="shared" si="9"/>
        <v>2595743.885</v>
      </c>
      <c r="I25" s="192">
        <f t="shared" si="9"/>
        <v>3649773.22</v>
      </c>
      <c r="J25" s="192">
        <f t="shared" si="9"/>
        <v>1384396.739</v>
      </c>
      <c r="K25" s="192">
        <f>SUM(F25:J25)</f>
        <v>13883296.84</v>
      </c>
      <c r="L25" s="258" t="s">
        <v>20</v>
      </c>
      <c r="M25" s="67"/>
      <c r="N25" s="67"/>
      <c r="O25" s="67"/>
    </row>
    <row r="26">
      <c r="A26" s="67"/>
      <c r="B26" s="116"/>
      <c r="C26" s="175"/>
      <c r="D26" s="127"/>
      <c r="E26" s="67"/>
      <c r="F26" s="175"/>
      <c r="G26" s="175"/>
      <c r="H26" s="174"/>
      <c r="I26" s="174"/>
      <c r="J26" s="174"/>
      <c r="K26" s="67"/>
      <c r="L26" s="67"/>
      <c r="M26" s="67"/>
      <c r="N26" s="67"/>
      <c r="O26" s="67"/>
    </row>
    <row r="27">
      <c r="A27" s="67"/>
      <c r="B27" s="116"/>
      <c r="C27" s="175"/>
      <c r="D27" s="127"/>
      <c r="E27" s="186" t="s">
        <v>351</v>
      </c>
      <c r="F27" s="192">
        <f t="shared" ref="F27:J27" si="10">F25+F18</f>
        <v>5838730.128</v>
      </c>
      <c r="G27" s="192">
        <f t="shared" si="10"/>
        <v>7431502.399</v>
      </c>
      <c r="H27" s="192">
        <f t="shared" si="10"/>
        <v>3084774.581</v>
      </c>
      <c r="I27" s="192">
        <f t="shared" si="10"/>
        <v>4337380.017</v>
      </c>
      <c r="J27" s="192">
        <f t="shared" si="10"/>
        <v>1645213.11</v>
      </c>
      <c r="K27" s="192">
        <f>SUM(F27:J27)</f>
        <v>22337600.23</v>
      </c>
      <c r="L27" s="258" t="s">
        <v>20</v>
      </c>
      <c r="M27" s="67"/>
      <c r="N27" s="67"/>
      <c r="O27" s="67"/>
    </row>
    <row r="28">
      <c r="A28" s="67"/>
      <c r="B28" s="116"/>
      <c r="C28" s="175"/>
      <c r="D28" s="127"/>
      <c r="E28" s="67"/>
      <c r="F28" s="174"/>
      <c r="G28" s="174"/>
      <c r="H28" s="174"/>
      <c r="I28" s="174"/>
      <c r="J28" s="174"/>
      <c r="K28" s="67"/>
      <c r="L28" s="67"/>
      <c r="M28" s="67"/>
      <c r="N28" s="67"/>
      <c r="O28" s="67"/>
    </row>
    <row r="29">
      <c r="A29" s="67"/>
      <c r="B29" s="116"/>
      <c r="C29" s="175"/>
      <c r="D29" s="127"/>
      <c r="E29" s="163" t="s">
        <v>353</v>
      </c>
      <c r="F29" s="164"/>
      <c r="G29" s="164"/>
      <c r="H29" s="164"/>
      <c r="I29" s="164"/>
      <c r="J29" s="164"/>
      <c r="K29" s="175"/>
      <c r="L29" s="175"/>
      <c r="M29" s="67"/>
      <c r="N29" s="67"/>
      <c r="O29" s="67"/>
    </row>
    <row r="30">
      <c r="A30" s="67"/>
      <c r="B30" s="116"/>
      <c r="C30" s="175"/>
      <c r="D30" s="127"/>
      <c r="E30" s="176" t="s">
        <v>360</v>
      </c>
      <c r="F30" s="177">
        <f t="shared" ref="F30:J30" si="11">F$11*F22+F27</f>
        <v>31788641.81</v>
      </c>
      <c r="G30" s="177">
        <f t="shared" si="11"/>
        <v>18651687.2</v>
      </c>
      <c r="H30" s="177">
        <f t="shared" si="11"/>
        <v>7742209.781</v>
      </c>
      <c r="I30" s="177">
        <f t="shared" si="11"/>
        <v>10886016.18</v>
      </c>
      <c r="J30" s="177">
        <f t="shared" si="11"/>
        <v>4129178.55</v>
      </c>
      <c r="K30" s="175"/>
      <c r="L30" s="175"/>
      <c r="M30" s="67"/>
      <c r="N30" s="67"/>
      <c r="O30" s="67"/>
    </row>
    <row r="31">
      <c r="A31" s="67"/>
      <c r="B31" s="116"/>
      <c r="C31" s="175"/>
      <c r="D31" s="127"/>
      <c r="E31" s="196" t="s">
        <v>361</v>
      </c>
      <c r="F31" s="331">
        <v>1.0</v>
      </c>
      <c r="G31" s="331">
        <v>0.0</v>
      </c>
      <c r="H31" s="331">
        <v>0.0</v>
      </c>
      <c r="I31" s="331">
        <v>0.0</v>
      </c>
      <c r="J31" s="331">
        <v>0.0</v>
      </c>
      <c r="K31" s="175"/>
      <c r="L31" s="175"/>
      <c r="M31" s="67"/>
      <c r="N31" s="67"/>
      <c r="O31" s="67"/>
    </row>
    <row r="32">
      <c r="A32" s="67"/>
      <c r="B32" s="116"/>
      <c r="C32" s="175"/>
      <c r="D32" s="127"/>
      <c r="E32" s="197" t="s">
        <v>363</v>
      </c>
      <c r="F32" s="332">
        <v>3.0</v>
      </c>
      <c r="G32" s="332">
        <v>3.0</v>
      </c>
      <c r="H32" s="332">
        <v>3.0</v>
      </c>
      <c r="I32" s="332">
        <v>3.0</v>
      </c>
      <c r="J32" s="332">
        <v>2.0</v>
      </c>
      <c r="K32" s="175"/>
      <c r="L32" s="175"/>
      <c r="M32" s="67"/>
      <c r="N32" s="67"/>
      <c r="O32" s="67"/>
    </row>
    <row r="33">
      <c r="A33" s="67"/>
      <c r="B33" s="116"/>
      <c r="C33" s="175"/>
      <c r="D33" s="127"/>
      <c r="E33" s="196" t="s">
        <v>446</v>
      </c>
      <c r="F33" s="199">
        <v>0.0</v>
      </c>
      <c r="G33" s="199">
        <v>0.0</v>
      </c>
      <c r="H33" s="199">
        <v>0.0</v>
      </c>
      <c r="I33" s="199">
        <v>0.0</v>
      </c>
      <c r="J33" s="199">
        <v>0.0</v>
      </c>
      <c r="K33" s="175"/>
      <c r="L33" s="175"/>
      <c r="M33" s="67"/>
      <c r="N33" s="67"/>
      <c r="O33" s="67"/>
    </row>
    <row r="34">
      <c r="A34" s="67"/>
      <c r="B34" s="116"/>
      <c r="C34" s="175"/>
      <c r="D34" s="70" t="s">
        <v>416</v>
      </c>
      <c r="E34" s="197" t="s">
        <v>365</v>
      </c>
      <c r="F34" s="333">
        <v>0.04</v>
      </c>
      <c r="G34" s="333">
        <v>0.35</v>
      </c>
      <c r="H34" s="333">
        <v>0.34</v>
      </c>
      <c r="I34" s="333">
        <v>0.35</v>
      </c>
      <c r="J34" s="333">
        <v>0.2</v>
      </c>
      <c r="K34" s="175"/>
      <c r="L34" s="175"/>
      <c r="M34" s="67"/>
      <c r="N34" s="67"/>
      <c r="O34" s="67"/>
    </row>
    <row r="35">
      <c r="A35" s="67"/>
      <c r="B35" s="116"/>
      <c r="C35" s="175"/>
      <c r="D35" s="127"/>
      <c r="E35" s="201" t="s">
        <v>367</v>
      </c>
      <c r="F35" s="334">
        <f t="shared" ref="F35:J35" si="12">((1+F33)+(1+F34)-1)*F11-F11</f>
        <v>37071302.4</v>
      </c>
      <c r="G35" s="334">
        <f t="shared" si="12"/>
        <v>65451078</v>
      </c>
      <c r="H35" s="334">
        <f t="shared" si="12"/>
        <v>26392132.8</v>
      </c>
      <c r="I35" s="334">
        <f t="shared" si="12"/>
        <v>38200377.6</v>
      </c>
      <c r="J35" s="334">
        <f t="shared" si="12"/>
        <v>8279884.8</v>
      </c>
      <c r="K35" s="258" t="s">
        <v>20</v>
      </c>
      <c r="L35" s="175"/>
      <c r="M35" s="67"/>
      <c r="N35" s="67"/>
      <c r="O35" s="67"/>
    </row>
    <row r="36">
      <c r="A36" s="67"/>
      <c r="B36" s="116"/>
      <c r="C36" s="175"/>
      <c r="D36" s="127"/>
      <c r="E36" s="67"/>
      <c r="F36" s="174"/>
      <c r="G36" s="174"/>
      <c r="H36" s="174"/>
      <c r="I36" s="174"/>
      <c r="J36" s="174"/>
      <c r="K36" s="67"/>
      <c r="L36" s="67"/>
      <c r="M36" s="67"/>
      <c r="N36" s="67"/>
      <c r="O36" s="67"/>
    </row>
    <row r="37">
      <c r="A37" s="67"/>
      <c r="B37" s="116"/>
      <c r="C37" s="175"/>
      <c r="D37" s="127"/>
      <c r="E37" s="186" t="s">
        <v>368</v>
      </c>
      <c r="F37" s="192">
        <f t="shared" ref="F37:J37" si="13">F35*$C$11</f>
        <v>5189982.336</v>
      </c>
      <c r="G37" s="192">
        <f t="shared" si="13"/>
        <v>9163150.92</v>
      </c>
      <c r="H37" s="192">
        <f t="shared" si="13"/>
        <v>3694898.592</v>
      </c>
      <c r="I37" s="192">
        <f t="shared" si="13"/>
        <v>5348052.864</v>
      </c>
      <c r="J37" s="192">
        <f t="shared" si="13"/>
        <v>1159183.872</v>
      </c>
      <c r="K37" s="175"/>
      <c r="L37" s="175"/>
      <c r="M37" s="67"/>
      <c r="N37" s="67"/>
      <c r="O37" s="67"/>
    </row>
    <row r="38">
      <c r="A38" s="67"/>
      <c r="B38" s="116"/>
      <c r="C38" s="175"/>
      <c r="D38" s="127"/>
      <c r="E38" s="67"/>
      <c r="F38" s="174"/>
      <c r="G38" s="174"/>
      <c r="H38" s="174"/>
      <c r="I38" s="174"/>
      <c r="J38" s="174"/>
      <c r="K38" s="175"/>
      <c r="L38" s="175"/>
      <c r="M38" s="67"/>
      <c r="N38" s="67"/>
      <c r="O38" s="67"/>
    </row>
    <row r="39">
      <c r="A39" s="67"/>
      <c r="B39" s="116"/>
      <c r="C39" s="175"/>
      <c r="D39" s="127"/>
      <c r="E39" s="196" t="s">
        <v>369</v>
      </c>
      <c r="F39" s="199">
        <v>0.02</v>
      </c>
      <c r="G39" s="199">
        <v>0.05</v>
      </c>
      <c r="H39" s="199">
        <v>0.05</v>
      </c>
      <c r="I39" s="199">
        <v>0.05</v>
      </c>
      <c r="J39" s="199">
        <v>0.05</v>
      </c>
      <c r="K39" s="175"/>
      <c r="L39" s="175"/>
      <c r="M39" s="67"/>
      <c r="N39" s="67"/>
      <c r="O39" s="67"/>
    </row>
    <row r="40">
      <c r="A40" s="67"/>
      <c r="B40" s="116"/>
      <c r="C40" s="175"/>
      <c r="D40" s="127"/>
      <c r="E40" s="207" t="s">
        <v>371</v>
      </c>
      <c r="F40" s="208">
        <f t="shared" ref="F40:J40" si="14">F39*F11</f>
        <v>18535651.2</v>
      </c>
      <c r="G40" s="208">
        <f t="shared" si="14"/>
        <v>9350154</v>
      </c>
      <c r="H40" s="208">
        <f t="shared" si="14"/>
        <v>3881196</v>
      </c>
      <c r="I40" s="208">
        <f t="shared" si="14"/>
        <v>5457196.8</v>
      </c>
      <c r="J40" s="208">
        <f t="shared" si="14"/>
        <v>2069971.2</v>
      </c>
      <c r="K40" s="175"/>
      <c r="L40" s="175"/>
      <c r="M40" s="67"/>
      <c r="N40" s="67"/>
      <c r="O40" s="67"/>
    </row>
    <row r="41">
      <c r="A41" s="67"/>
      <c r="B41" s="116"/>
      <c r="C41" s="175"/>
      <c r="D41" s="127"/>
      <c r="E41" s="67"/>
      <c r="F41" s="174"/>
      <c r="G41" s="174"/>
      <c r="H41" s="174"/>
      <c r="I41" s="174"/>
      <c r="J41" s="174"/>
      <c r="K41" s="175"/>
      <c r="L41" s="175"/>
      <c r="M41" s="67"/>
      <c r="N41" s="67"/>
      <c r="O41" s="67"/>
    </row>
    <row r="42">
      <c r="A42" s="67"/>
      <c r="B42" s="116"/>
      <c r="C42" s="175"/>
      <c r="D42" s="127"/>
      <c r="E42" s="184" t="s">
        <v>372</v>
      </c>
      <c r="F42" s="335">
        <f t="shared" ref="F42:J42" si="15">F24</f>
        <v>0.028</v>
      </c>
      <c r="G42" s="335">
        <f t="shared" si="15"/>
        <v>0.028</v>
      </c>
      <c r="H42" s="335">
        <f t="shared" si="15"/>
        <v>0.028</v>
      </c>
      <c r="I42" s="335">
        <f t="shared" si="15"/>
        <v>0.028</v>
      </c>
      <c r="J42" s="335">
        <f t="shared" si="15"/>
        <v>0.028</v>
      </c>
      <c r="K42" s="175"/>
      <c r="L42" s="175"/>
      <c r="M42" s="67"/>
      <c r="N42" s="67"/>
      <c r="O42" s="67"/>
    </row>
    <row r="43">
      <c r="A43" s="67"/>
      <c r="B43" s="116"/>
      <c r="C43" s="175"/>
      <c r="D43" s="127"/>
      <c r="E43" s="210" t="s">
        <v>373</v>
      </c>
      <c r="F43" s="320">
        <v>0.015</v>
      </c>
      <c r="G43" s="320">
        <v>0.015</v>
      </c>
      <c r="H43" s="320">
        <v>0.015</v>
      </c>
      <c r="I43" s="320">
        <v>0.015</v>
      </c>
      <c r="J43" s="320">
        <v>0.015</v>
      </c>
      <c r="K43" s="175"/>
      <c r="L43" s="175"/>
      <c r="M43" s="67"/>
      <c r="N43" s="67"/>
      <c r="O43" s="67"/>
    </row>
    <row r="44">
      <c r="A44" s="67"/>
      <c r="B44" s="116"/>
      <c r="C44" s="175"/>
      <c r="D44" s="127"/>
      <c r="E44" s="67"/>
      <c r="F44" s="129"/>
      <c r="G44" s="129"/>
      <c r="H44" s="129"/>
      <c r="I44" s="129"/>
      <c r="J44" s="129"/>
      <c r="K44" s="175"/>
      <c r="L44" s="175"/>
      <c r="M44" s="67"/>
      <c r="N44" s="67"/>
      <c r="O44" s="67"/>
    </row>
    <row r="45">
      <c r="A45" s="67"/>
      <c r="B45" s="116"/>
      <c r="C45" s="175"/>
      <c r="D45" s="127"/>
      <c r="E45" s="186" t="s">
        <v>374</v>
      </c>
      <c r="F45" s="192">
        <f t="shared" ref="F45:J45" si="16">(F40+F35)*(F42-F43)</f>
        <v>722890.3968</v>
      </c>
      <c r="G45" s="192">
        <f t="shared" si="16"/>
        <v>972416.016</v>
      </c>
      <c r="H45" s="192">
        <f t="shared" si="16"/>
        <v>393553.2744</v>
      </c>
      <c r="I45" s="192">
        <f t="shared" si="16"/>
        <v>567548.4672</v>
      </c>
      <c r="J45" s="192">
        <f t="shared" si="16"/>
        <v>134548.128</v>
      </c>
      <c r="K45" s="175"/>
      <c r="L45" s="175"/>
      <c r="M45" s="67"/>
      <c r="N45" s="67"/>
      <c r="O45" s="67"/>
    </row>
    <row r="46">
      <c r="A46" s="67"/>
      <c r="B46" s="116"/>
      <c r="C46" s="175"/>
      <c r="D46" s="127"/>
      <c r="E46" s="67"/>
      <c r="F46" s="95">
        <f t="shared" ref="F46:J46" si="17">F45/1000000</f>
        <v>0.7228903968</v>
      </c>
      <c r="G46" s="95">
        <f t="shared" si="17"/>
        <v>0.972416016</v>
      </c>
      <c r="H46" s="95">
        <f t="shared" si="17"/>
        <v>0.3935532744</v>
      </c>
      <c r="I46" s="95">
        <f t="shared" si="17"/>
        <v>0.5675484672</v>
      </c>
      <c r="J46" s="95">
        <f t="shared" si="17"/>
        <v>0.134548128</v>
      </c>
      <c r="K46" s="175"/>
      <c r="L46" s="175"/>
      <c r="M46" s="67"/>
      <c r="N46" s="67"/>
      <c r="O46" s="67"/>
    </row>
    <row r="47">
      <c r="A47" s="67"/>
      <c r="B47" s="116"/>
      <c r="C47" s="175"/>
      <c r="D47" s="127"/>
      <c r="E47" s="186" t="s">
        <v>375</v>
      </c>
      <c r="F47" s="268">
        <f t="shared" ref="F47:J47" si="18">F45+F37</f>
        <v>5912872.733</v>
      </c>
      <c r="G47" s="268">
        <f t="shared" si="18"/>
        <v>10135566.94</v>
      </c>
      <c r="H47" s="268">
        <f t="shared" si="18"/>
        <v>4088451.866</v>
      </c>
      <c r="I47" s="268">
        <f t="shared" si="18"/>
        <v>5915601.331</v>
      </c>
      <c r="J47" s="268">
        <f t="shared" si="18"/>
        <v>1293732</v>
      </c>
      <c r="K47" s="214">
        <f>SUM(F47:J47)</f>
        <v>27346224.87</v>
      </c>
      <c r="L47" s="175"/>
      <c r="M47" s="67"/>
      <c r="N47" s="67"/>
      <c r="O47" s="67"/>
    </row>
    <row r="48">
      <c r="A48" s="67"/>
      <c r="B48" s="116"/>
      <c r="C48" s="175"/>
      <c r="D48" s="127"/>
      <c r="K48" s="175"/>
      <c r="L48" s="175"/>
      <c r="M48" s="67"/>
      <c r="N48" s="67"/>
      <c r="O48" s="67"/>
    </row>
    <row r="49">
      <c r="A49" s="67"/>
      <c r="B49" s="116"/>
      <c r="C49" s="175"/>
      <c r="D49" s="127"/>
      <c r="K49" s="175"/>
      <c r="L49" s="175"/>
      <c r="M49" s="67"/>
      <c r="N49" s="67"/>
      <c r="O49" s="67"/>
    </row>
    <row r="50">
      <c r="A50" s="67"/>
      <c r="B50" s="116"/>
      <c r="C50" s="175"/>
      <c r="D50" s="127"/>
      <c r="K50" s="175"/>
      <c r="L50" s="175"/>
      <c r="M50" s="67"/>
      <c r="N50" s="67"/>
      <c r="O50" s="67"/>
    </row>
    <row r="51">
      <c r="A51" s="67"/>
      <c r="B51" s="116"/>
      <c r="C51" s="175"/>
      <c r="D51" s="127"/>
      <c r="K51" s="175"/>
      <c r="L51" s="175"/>
      <c r="M51" s="67"/>
      <c r="N51" s="67"/>
      <c r="O51" s="67"/>
    </row>
    <row r="52">
      <c r="A52" s="67"/>
      <c r="B52" s="116"/>
      <c r="C52" s="175"/>
      <c r="D52" s="127"/>
      <c r="E52" s="67"/>
      <c r="F52" s="174"/>
      <c r="G52" s="174"/>
      <c r="H52" s="174"/>
      <c r="I52" s="174"/>
      <c r="J52" s="174"/>
      <c r="K52" s="175"/>
      <c r="L52" s="175"/>
      <c r="M52" s="67"/>
      <c r="N52" s="67"/>
      <c r="O52" s="67"/>
    </row>
    <row r="53">
      <c r="A53" s="67"/>
      <c r="B53" s="116"/>
      <c r="C53" s="175"/>
      <c r="D53" s="127"/>
      <c r="E53" s="67"/>
      <c r="F53" s="174"/>
      <c r="G53" s="174"/>
      <c r="H53" s="174"/>
      <c r="I53" s="174"/>
      <c r="J53" s="174"/>
      <c r="K53" s="175"/>
      <c r="L53" s="175"/>
      <c r="M53" s="67"/>
      <c r="N53" s="67"/>
      <c r="O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175"/>
      <c r="L54" s="175"/>
      <c r="M54" s="67"/>
      <c r="N54" s="67"/>
      <c r="O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175"/>
      <c r="L55" s="175"/>
      <c r="M55" s="67"/>
      <c r="N55" s="67"/>
      <c r="O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175"/>
      <c r="L56" s="175"/>
      <c r="M56" s="67"/>
      <c r="N56" s="67"/>
      <c r="O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175"/>
      <c r="L57" s="175"/>
      <c r="M57" s="67"/>
      <c r="N57" s="67"/>
      <c r="O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175"/>
      <c r="L58" s="175"/>
      <c r="M58" s="67"/>
      <c r="N58" s="67"/>
      <c r="O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175"/>
      <c r="L59" s="175"/>
      <c r="M59" s="67"/>
      <c r="N59" s="67"/>
      <c r="O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175"/>
      <c r="L60" s="175"/>
      <c r="M60" s="67"/>
      <c r="N60" s="67"/>
      <c r="O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175"/>
      <c r="L61" s="175"/>
      <c r="M61" s="67"/>
      <c r="N61" s="67"/>
      <c r="O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175"/>
      <c r="L62" s="175"/>
      <c r="M62" s="67"/>
      <c r="N62" s="67"/>
      <c r="O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175"/>
      <c r="L63" s="175"/>
      <c r="M63" s="67"/>
      <c r="N63" s="67"/>
      <c r="O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175"/>
      <c r="L64" s="175"/>
      <c r="M64" s="67"/>
      <c r="N64" s="67"/>
      <c r="O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175"/>
      <c r="L65" s="175"/>
      <c r="M65" s="67"/>
      <c r="N65" s="67"/>
      <c r="O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175"/>
      <c r="L66" s="175"/>
      <c r="M66" s="67"/>
      <c r="N66" s="67"/>
      <c r="O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175"/>
      <c r="L67" s="175"/>
      <c r="M67" s="67"/>
      <c r="N67" s="67"/>
      <c r="O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175"/>
      <c r="L68" s="175"/>
      <c r="M68" s="67"/>
      <c r="N68" s="67"/>
      <c r="O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175"/>
      <c r="L69" s="175"/>
      <c r="M69" s="67"/>
      <c r="N69" s="67"/>
      <c r="O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175"/>
      <c r="L70" s="175"/>
      <c r="M70" s="67"/>
      <c r="N70" s="67"/>
      <c r="O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175"/>
      <c r="L71" s="175"/>
      <c r="M71" s="67"/>
      <c r="N71" s="67"/>
      <c r="O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175"/>
      <c r="L72" s="175"/>
      <c r="M72" s="67"/>
      <c r="N72" s="67"/>
      <c r="O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175"/>
      <c r="L73" s="175"/>
      <c r="M73" s="67"/>
      <c r="N73" s="67"/>
      <c r="O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175"/>
      <c r="L74" s="175"/>
      <c r="M74" s="67"/>
      <c r="N74" s="67"/>
      <c r="O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175"/>
      <c r="L75" s="175"/>
      <c r="M75" s="67"/>
      <c r="N75" s="67"/>
      <c r="O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175"/>
      <c r="L76" s="175"/>
      <c r="M76" s="67"/>
      <c r="N76" s="67"/>
      <c r="O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175"/>
      <c r="L77" s="175"/>
      <c r="M77" s="67"/>
      <c r="N77" s="67"/>
      <c r="O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175"/>
      <c r="L78" s="175"/>
      <c r="M78" s="67"/>
      <c r="N78" s="67"/>
      <c r="O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175"/>
      <c r="L79" s="175"/>
      <c r="M79" s="67"/>
      <c r="N79" s="67"/>
      <c r="O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175"/>
      <c r="L80" s="175"/>
      <c r="M80" s="67"/>
      <c r="N80" s="67"/>
      <c r="O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175"/>
      <c r="L81" s="175"/>
      <c r="M81" s="67"/>
      <c r="N81" s="67"/>
      <c r="O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175"/>
      <c r="L82" s="175"/>
      <c r="M82" s="67"/>
      <c r="N82" s="67"/>
      <c r="O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175"/>
      <c r="L83" s="175"/>
      <c r="M83" s="67"/>
      <c r="N83" s="67"/>
      <c r="O83" s="67"/>
    </row>
    <row r="84">
      <c r="A84" s="67"/>
      <c r="B84" s="116"/>
      <c r="C84" s="175"/>
      <c r="D84" s="127"/>
      <c r="E84" s="215"/>
      <c r="F84" s="216"/>
      <c r="G84" s="216"/>
      <c r="H84" s="216"/>
      <c r="I84" s="216"/>
      <c r="J84" s="216"/>
      <c r="K84" s="175"/>
      <c r="L84" s="175"/>
      <c r="M84" s="67"/>
      <c r="N84" s="67"/>
      <c r="O84" s="67"/>
    </row>
    <row r="85">
      <c r="A85" s="67"/>
      <c r="B85" s="116"/>
      <c r="C85" s="175"/>
      <c r="D85" s="127"/>
      <c r="E85" s="215"/>
      <c r="F85" s="216"/>
      <c r="G85" s="216"/>
      <c r="H85" s="216"/>
      <c r="I85" s="216"/>
      <c r="J85" s="216"/>
      <c r="K85" s="175"/>
      <c r="L85" s="175"/>
      <c r="M85" s="67"/>
      <c r="N85" s="67"/>
      <c r="O85" s="67"/>
    </row>
    <row r="86">
      <c r="A86" s="67"/>
      <c r="B86" s="116"/>
      <c r="C86" s="175"/>
      <c r="D86" s="127"/>
      <c r="E86" s="215"/>
      <c r="F86" s="216"/>
      <c r="G86" s="216"/>
      <c r="H86" s="216"/>
      <c r="I86" s="216"/>
      <c r="J86" s="216"/>
      <c r="K86" s="175"/>
      <c r="L86" s="175"/>
      <c r="M86" s="67"/>
      <c r="N86" s="67"/>
      <c r="O86" s="67"/>
    </row>
    <row r="87">
      <c r="A87" s="67"/>
      <c r="B87" s="116"/>
      <c r="C87" s="175"/>
      <c r="D87" s="127"/>
      <c r="E87" s="215"/>
      <c r="F87" s="216"/>
      <c r="G87" s="216"/>
      <c r="H87" s="216"/>
      <c r="I87" s="216"/>
      <c r="J87" s="216"/>
      <c r="K87" s="175"/>
      <c r="L87" s="175"/>
      <c r="M87" s="67"/>
      <c r="N87" s="67"/>
      <c r="O87" s="67"/>
    </row>
    <row r="88">
      <c r="A88" s="67"/>
      <c r="B88" s="116"/>
      <c r="C88" s="175"/>
      <c r="D88" s="127"/>
      <c r="E88" s="215"/>
      <c r="F88" s="216"/>
      <c r="G88" s="216"/>
      <c r="H88" s="216"/>
      <c r="I88" s="216"/>
      <c r="J88" s="216"/>
      <c r="K88" s="175"/>
      <c r="L88" s="175"/>
      <c r="M88" s="67"/>
      <c r="N88" s="67"/>
      <c r="O88" s="67"/>
    </row>
    <row r="89">
      <c r="A89" s="67"/>
      <c r="B89" s="116"/>
      <c r="C89" s="175"/>
      <c r="D89" s="127"/>
      <c r="E89" s="215"/>
      <c r="F89" s="216"/>
      <c r="G89" s="216"/>
      <c r="H89" s="216"/>
      <c r="I89" s="216"/>
      <c r="J89" s="216"/>
      <c r="K89" s="175"/>
      <c r="L89" s="175"/>
      <c r="M89" s="67"/>
      <c r="N89" s="67"/>
      <c r="O89" s="67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